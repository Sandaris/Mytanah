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PU\FYP\FYP_Property\property data\"/>
    </mc:Choice>
  </mc:AlternateContent>
  <xr:revisionPtr revIDLastSave="0" documentId="13_ncr:1_{DF534F3B-4503-444A-9A49-4F23CD4E15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ld" sheetId="1" r:id="rId1"/>
    <sheet name="Sourc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2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13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2" i="1"/>
  <c r="F36" i="2"/>
  <c r="F38" i="2"/>
  <c r="F39" i="2"/>
  <c r="F40" i="2"/>
  <c r="F41" i="2"/>
  <c r="F42" i="2"/>
  <c r="F43" i="2"/>
  <c r="F44" i="2"/>
  <c r="F45" i="2"/>
  <c r="F46" i="2"/>
  <c r="F47" i="2"/>
  <c r="F48" i="2"/>
  <c r="F49" i="2"/>
  <c r="F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37" i="2"/>
</calcChain>
</file>

<file path=xl/sharedStrings.xml><?xml version="1.0" encoding="utf-8"?>
<sst xmlns="http://schemas.openxmlformats.org/spreadsheetml/2006/main" count="123" uniqueCount="123">
  <si>
    <t>Ratio of General provisions/ collective 3M impairment provisions to Net total loans(%)</t>
  </si>
  <si>
    <t>Date (MM-YY)</t>
  </si>
  <si>
    <t>﻿</t>
  </si>
  <si>
    <t>Loans: BS: Purchase of Residential Property</t>
  </si>
  <si>
    <t>Transformed</t>
  </si>
  <si>
    <t>Date (qqyy)</t>
  </si>
  <si>
    <t>1Q98</t>
  </si>
  <si>
    <t>2Q98</t>
  </si>
  <si>
    <t>3Q98</t>
  </si>
  <si>
    <t>4Q98</t>
  </si>
  <si>
    <t>1Q99</t>
  </si>
  <si>
    <t>2Q99</t>
  </si>
  <si>
    <t>3Q99</t>
  </si>
  <si>
    <t>4Q99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</si>
  <si>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</si>
  <si>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</si>
  <si>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</si>
  <si>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</si>
  <si>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</si>
  <si>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</si>
  <si>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</si>
  <si>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</si>
  <si>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</si>
  <si>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</si>
  <si>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</si>
  <si>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</si>
  <si>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</si>
  <si>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</si>
  <si>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</si>
  <si>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</si>
  <si>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</si>
  <si>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</si>
  <si>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</si>
  <si>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</si>
  <si>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</si>
  <si>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</si>
  <si>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</si>
  <si>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</si>
  <si>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</si>
  <si>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</si>
  <si>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</si>
  <si>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</si>
  <si>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</si>
  <si>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</si>
  <si>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</si>
  <si>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</si>
  <si>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</si>
  <si>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</si>
  <si>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</si>
  <si>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</si>
  <si>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</si>
  <si>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</si>
  <si>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</si>
  <si>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</si>
  <si>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</si>
  <si>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</si>
  <si>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</si>
  <si>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</si>
  <si>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</si>
  <si>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</si>
  <si>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</si>
  <si>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</si>
  <si>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</si>
  <si>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</si>
  <si>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</si>
  <si>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</si>
  <si>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</si>
  <si>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</si>
  <si>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</si>
  <si>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</si>
  <si>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</si>
  <si>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</si>
  <si>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</si>
  <si>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</si>
  <si>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</si>
  <si>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</si>
  <si>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</si>
  <si>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</si>
  <si>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</si>
  <si>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</si>
  <si>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</si>
  <si>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</si>
  <si>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</si>
  <si>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</si>
  <si>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</si>
  <si>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</si>
  <si>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</si>
  <si>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</si>
  <si>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</si>
  <si>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</si>
  <si>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</si>
  <si>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</si>
  <si>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</si>
  <si>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</si>
  <si>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</si>
  <si>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</si>
  <si>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</si>
  <si>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</si>
  <si>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</si>
  <si>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</si>
  <si>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</si>
  <si>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</si>
  <si>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</si>
  <si>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</si>
  <si>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</si>
  <si>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</si>
  <si>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</si>
  <si>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</si>
  <si>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</si>
  <si>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</si>
  <si>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</si>
  <si>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</si>
  <si>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</si>
  <si>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</si>
  <si>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</si>
  <si>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</si>
  <si>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</si>
  <si>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</si>
  <si>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Quarterly impaired prop loans ratio</t>
  </si>
  <si>
    <t>Impaired loans value of residential property (RM mil)</t>
  </si>
  <si>
    <t>Impaired loans ratio to total outstanding residential prop loans</t>
  </si>
  <si>
    <t>Comparing with old data series on total impaired loan ratio</t>
  </si>
  <si>
    <t>Deriving a multiplier to proxy prop loan impairment ratio with total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</si>
</sst>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8"/>
      <name val="Arial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>
      <alignment wrapText="1"/>
    </xf>
  </cellStyleXfs>
  <cellXfs count="17">
    <xf numFmtId="0" fontId="0" fillId="0" borderId="0" xfId="0"/>
    <xf numFmtId="17" fontId="3" fillId="0" borderId="0" xfId="0" applyNumberFormat="1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1" applyAlignment="1">
      <alignment vertical="center"/>
    </xf>
    <xf numFmtId="17" fontId="0" fillId="0" borderId="0" xfId="0" applyNumberFormat="1" applyAlignment="1">
      <alignment vertical="center"/>
    </xf>
    <xf numFmtId="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8" fillId="0" borderId="3" xfId="2" applyFont="1" applyBorder="1" applyAlignment="1">
      <alignment vertical="center" wrapText="1"/>
    </xf>
    <xf numFmtId="0" fontId="8" fillId="0" borderId="2" xfId="2" applyFont="1" applyBorder="1" applyAlignment="1">
      <alignment vertical="center" wrapText="1"/>
    </xf>
    <xf numFmtId="2" fontId="2" fillId="0" borderId="0" xfId="0" applyNumberFormat="1" applyFont="1"/>
  </cellXfs>
  <cellStyles count="3">
    <cellStyle name="Hyperlink" xfId="1" builtinId="8"/>
    <cellStyle name="Normal" xfId="0" builtinId="0"/>
    <cellStyle name="Normal 2" xfId="2" xr:uid="{7C39E9B4-C411-408B-B9D9-9CFC26265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'Source Data'!$D$37:$D$49</c:f>
              <c:numCache>
                <c:formatCode>0.00</c:formatCode>
                <c:ptCount val="13"/>
                <c:pt idx="0">
                  <c:v>5.6067653491187182</c:v>
                </c:pt>
                <c:pt idx="1">
                  <c:v>5.6354943278395009</c:v>
                </c:pt>
                <c:pt idx="2">
                  <c:v>5.6480798321064745</c:v>
                </c:pt>
                <c:pt idx="3">
                  <c:v>5.5797844054635686</c:v>
                </c:pt>
                <c:pt idx="4">
                  <c:v>5.5029542373792406</c:v>
                </c:pt>
                <c:pt idx="5">
                  <c:v>5.4874281646086525</c:v>
                </c:pt>
                <c:pt idx="6">
                  <c:v>5.3323286507463203</c:v>
                </c:pt>
                <c:pt idx="7">
                  <c:v>5.1450753737398971</c:v>
                </c:pt>
                <c:pt idx="8">
                  <c:v>5.1111282905722915</c:v>
                </c:pt>
                <c:pt idx="9">
                  <c:v>5.0471348450692144</c:v>
                </c:pt>
                <c:pt idx="10">
                  <c:v>4.952506935370744</c:v>
                </c:pt>
                <c:pt idx="11">
                  <c:v>4.3732316755206657</c:v>
                </c:pt>
                <c:pt idx="12">
                  <c:v>4.2632848873020741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0-421F-B065-342D05EC7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53424"/>
        <c:axId val="166750064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'Source Data'!$E$37:$E$49</c:f>
              <c:numCache>
                <c:formatCode>0.00</c:formatCode>
                <c:ptCount val="13"/>
                <c:pt idx="0">
                  <c:v>1.7043076822003802</c:v>
                </c:pt>
                <c:pt idx="1">
                  <c:v>1.6911447264006205</c:v>
                </c:pt>
                <c:pt idx="2">
                  <c:v>1.701273592907192</c:v>
                </c:pt>
                <c:pt idx="3">
                  <c:v>1.6878244900783217</c:v>
                </c:pt>
                <c:pt idx="4">
                  <c:v>1.701043563920096</c:v>
                </c:pt>
                <c:pt idx="5">
                  <c:v>1.6837434955418717</c:v>
                </c:pt>
                <c:pt idx="6">
                  <c:v>1.6814641845039975</c:v>
                </c:pt>
                <c:pt idx="7">
                  <c:v>1.6913844945807603</c:v>
                </c:pt>
                <c:pt idx="8">
                  <c:v>1.714602993439112</c:v>
                </c:pt>
                <c:pt idx="9">
                  <c:v>1.6699556258673303</c:v>
                </c:pt>
                <c:pt idx="10">
                  <c:v>1.6902125301311743</c:v>
                </c:pt>
                <c:pt idx="11">
                  <c:v>1.6529622468919869</c:v>
                </c:pt>
                <c:pt idx="12">
                  <c:v>1.6259359505986302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0-421F-B065-342D05EC7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70224"/>
        <c:axId val="166755824"/>
      </c:lineChart>
      <c:catAx>
        <c:axId val="166753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0064"/>
        <c:crosses val="autoZero"/>
        <c:auto val="1"/>
        <c:lblAlgn val="ctr"/>
        <c:lblOffset val="100"/>
        <c:noMultiLvlLbl val="0"/>
      </c:catAx>
      <c:valAx>
        <c:axId val="16675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3424"/>
        <c:crosses val="autoZero"/>
        <c:crossBetween val="between"/>
      </c:valAx>
      <c:valAx>
        <c:axId val="16675582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70224"/>
        <c:crosses val="max"/>
        <c:crossBetween val="between"/>
      </c:valAx>
      <c:catAx>
        <c:axId val="166770224"/>
        <c:scaling>
          <c:orientation val="minMax"/>
        </c:scaling>
        <c:delete val="1"/>
        <c:axPos val="b"/>
        <c:majorTickMark val="out"/>
        <c:minorTickMark val="none"/>
        <c:tickLblPos val="nextTo"/>
        <c:crossAx val="166755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38</xdr:row>
      <xdr:rowOff>157162</xdr:rowOff>
    </xdr:from>
    <xdr:to>
      <xdr:col>18</xdr:col>
      <xdr:colOff>228600</xdr:colOff>
      <xdr:row>54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30EFC-48C9-53F8-BCF1-725232824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sights.ceicdata.com/series/495575337_SR173719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8"/>
  <sheetViews>
    <sheetView tabSelected="1" topLeftCell="A94" workbookViewId="0">
      <selection activeCell="I113" sqref="I1:I113"/>
    </sheetView>
  </sheetViews>
  <sheetFormatPr defaultRowHeight="14.5" x14ac:dyDescent="0.35"/>
  <sheetData>
    <row r="1" spans="1:9" ht="84" x14ac:dyDescent="0.35">
      <c r="A1" t="s">
        <v>1</v>
      </c>
      <c r="B1" s="3" t="s">
        <v>0</v>
      </c>
      <c r="C1" t="s">
        <v>4</v>
      </c>
      <c r="H1" t="s">
        <v>5</v>
      </c>
      <c r="I1" t="s">
        <v>118</v>
      </c>
    </row>
    <row r="2" spans="1:9" x14ac:dyDescent="0.35">
      <c r="A2" s="1">
        <v>35796</v>
      </c>
      <c r="B2" s="4">
        <v>2.073396270003887</v>
      </c>
      <c r="C2" s="13">
        <f>B2*3.09</f>
        <v>6.4067944743120107</v>
      </c>
      <c r="H2" t="s">
        <v>6</v>
      </c>
      <c r="I2" s="12">
        <f ca="1">OFFSET(C$2, (ROWS(C$2:C2)-1)*3,0,1,1)</f>
        <v>6.4067944743120107</v>
      </c>
    </row>
    <row r="3" spans="1:9" x14ac:dyDescent="0.35">
      <c r="A3" s="1">
        <v>35827</v>
      </c>
      <c r="B3" s="4">
        <v>2.1623626580739312</v>
      </c>
      <c r="C3" s="13">
        <f t="shared" ref="C3:C66" si="0">B3*3.09</f>
        <v>6.6817006134484469</v>
      </c>
      <c r="H3" t="s">
        <v>7</v>
      </c>
      <c r="I3" s="12">
        <f ca="1">OFFSET(C$2, (ROWS(C$2:C3)-1)*3,0,1,1)</f>
        <v>6.5749224674392046</v>
      </c>
    </row>
    <row r="4" spans="1:9" x14ac:dyDescent="0.35">
      <c r="A4" s="1">
        <v>35855</v>
      </c>
      <c r="B4" s="4">
        <v>2.2284413693312097</v>
      </c>
      <c r="C4" s="13">
        <f t="shared" si="0"/>
        <v>6.8858838312334374</v>
      </c>
      <c r="H4" t="s">
        <v>8</v>
      </c>
      <c r="I4" s="12">
        <f ca="1">OFFSET(C$2, (ROWS(C$2:C4)-1)*3,0,1,1)</f>
        <v>6.7755827338201229</v>
      </c>
    </row>
    <row r="5" spans="1:9" x14ac:dyDescent="0.35">
      <c r="A5" s="1">
        <v>35886</v>
      </c>
      <c r="B5" s="4">
        <v>2.127806623766733</v>
      </c>
      <c r="C5" s="13">
        <f t="shared" si="0"/>
        <v>6.5749224674392046</v>
      </c>
      <c r="H5" t="s">
        <v>9</v>
      </c>
      <c r="I5" s="12">
        <f ca="1">OFFSET(C$2, (ROWS(C$2:C5)-1)*3,0,1,1)</f>
        <v>6.6921163149334619</v>
      </c>
    </row>
    <row r="6" spans="1:9" x14ac:dyDescent="0.35">
      <c r="A6" s="1">
        <v>35916</v>
      </c>
      <c r="B6" s="4">
        <v>2.1466908088674765</v>
      </c>
      <c r="C6" s="13">
        <f t="shared" si="0"/>
        <v>6.6332745994005018</v>
      </c>
      <c r="H6" t="s">
        <v>10</v>
      </c>
      <c r="I6" s="12">
        <f ca="1">OFFSET(C$2, (ROWS(C$2:C6)-1)*3,0,1,1)</f>
        <v>6.7218737562770299</v>
      </c>
    </row>
    <row r="7" spans="1:9" x14ac:dyDescent="0.35">
      <c r="A7" s="1">
        <v>35947</v>
      </c>
      <c r="B7" s="4">
        <v>2.164001735195789</v>
      </c>
      <c r="C7" s="13">
        <f t="shared" si="0"/>
        <v>6.686765361754988</v>
      </c>
      <c r="H7" t="s">
        <v>11</v>
      </c>
      <c r="I7" s="12">
        <f ca="1">OFFSET(C$2, (ROWS(C$2:C7)-1)*3,0,1,1)</f>
        <v>6.7875285405337191</v>
      </c>
    </row>
    <row r="8" spans="1:9" x14ac:dyDescent="0.35">
      <c r="A8" s="1">
        <v>35977</v>
      </c>
      <c r="B8" s="4">
        <v>2.1927452213010108</v>
      </c>
      <c r="C8" s="13">
        <f t="shared" si="0"/>
        <v>6.7755827338201229</v>
      </c>
      <c r="H8" t="s">
        <v>12</v>
      </c>
      <c r="I8" s="12">
        <f ca="1">OFFSET(C$2, (ROWS(C$2:C8)-1)*3,0,1,1)</f>
        <v>6.8590608078274427</v>
      </c>
    </row>
    <row r="9" spans="1:9" x14ac:dyDescent="0.35">
      <c r="A9" s="1">
        <v>36008</v>
      </c>
      <c r="B9" s="4">
        <v>2.1911124483902502</v>
      </c>
      <c r="C9" s="13">
        <f t="shared" si="0"/>
        <v>6.770537465525873</v>
      </c>
      <c r="H9" t="s">
        <v>13</v>
      </c>
      <c r="I9" s="12">
        <f ca="1">OFFSET(C$2, (ROWS(C$2:C9)-1)*3,0,1,1)</f>
        <v>6.6672659427833176</v>
      </c>
    </row>
    <row r="10" spans="1:9" x14ac:dyDescent="0.35">
      <c r="A10" s="1">
        <v>36039</v>
      </c>
      <c r="B10" s="4">
        <v>2.0296875839952802</v>
      </c>
      <c r="C10" s="13">
        <f t="shared" si="0"/>
        <v>6.2717346345454157</v>
      </c>
      <c r="H10" t="s">
        <v>14</v>
      </c>
      <c r="I10" s="12">
        <f ca="1">OFFSET(C$2, (ROWS(C$2:C10)-1)*3,0,1,1)</f>
        <v>6.8679027860462414</v>
      </c>
    </row>
    <row r="11" spans="1:9" x14ac:dyDescent="0.35">
      <c r="A11" s="1">
        <v>36069</v>
      </c>
      <c r="B11" s="4">
        <v>2.1657334352535478</v>
      </c>
      <c r="C11" s="13">
        <f t="shared" si="0"/>
        <v>6.6921163149334619</v>
      </c>
      <c r="H11" t="s">
        <v>15</v>
      </c>
      <c r="I11" s="12">
        <f ca="1">OFFSET(C$2, (ROWS(C$2:C11)-1)*3,0,1,1)</f>
        <v>6.7862531250376463</v>
      </c>
    </row>
    <row r="12" spans="1:9" x14ac:dyDescent="0.35">
      <c r="A12" s="1">
        <v>36100</v>
      </c>
      <c r="B12" s="4">
        <v>2.0321314105278305</v>
      </c>
      <c r="C12" s="13">
        <f t="shared" si="0"/>
        <v>6.279286058530996</v>
      </c>
      <c r="H12" t="s">
        <v>16</v>
      </c>
      <c r="I12" s="12">
        <f ca="1">OFFSET(C$2, (ROWS(C$2:C12)-1)*3,0,1,1)</f>
        <v>6.7663871802536759</v>
      </c>
    </row>
    <row r="13" spans="1:9" x14ac:dyDescent="0.35">
      <c r="A13" s="1">
        <v>36130</v>
      </c>
      <c r="B13" s="4">
        <v>2.2017095179215533</v>
      </c>
      <c r="C13" s="13">
        <f t="shared" si="0"/>
        <v>6.8032824103775997</v>
      </c>
      <c r="H13" t="s">
        <v>17</v>
      </c>
      <c r="I13" s="12">
        <f ca="1">OFFSET(C$2, (ROWS(C$2:C13)-1)*3,0,1,1)</f>
        <v>6.8163740898377467</v>
      </c>
    </row>
    <row r="14" spans="1:9" x14ac:dyDescent="0.35">
      <c r="A14" s="1">
        <v>36161</v>
      </c>
      <c r="B14" s="5">
        <v>2.1753636751705598</v>
      </c>
      <c r="C14" s="13">
        <f t="shared" si="0"/>
        <v>6.7218737562770299</v>
      </c>
      <c r="H14" t="s">
        <v>18</v>
      </c>
      <c r="I14" s="12">
        <f ca="1">OFFSET(C$2, (ROWS(C$2:C14)-1)*3,0,1,1)</f>
        <v>6.628087237111739</v>
      </c>
    </row>
    <row r="15" spans="1:9" x14ac:dyDescent="0.35">
      <c r="A15" s="1">
        <v>36192</v>
      </c>
      <c r="B15" s="5">
        <v>2.1568901137643448</v>
      </c>
      <c r="C15" s="13">
        <f t="shared" si="0"/>
        <v>6.6647904515318253</v>
      </c>
      <c r="H15" t="s">
        <v>19</v>
      </c>
      <c r="I15" s="12">
        <f ca="1">OFFSET(C$2, (ROWS(C$2:C15)-1)*3,0,1,1)</f>
        <v>6.6959944975410313</v>
      </c>
    </row>
    <row r="16" spans="1:9" x14ac:dyDescent="0.35">
      <c r="A16" s="1">
        <v>36220</v>
      </c>
      <c r="B16" s="4">
        <v>2.2053853903546425</v>
      </c>
      <c r="C16" s="13">
        <f t="shared" si="0"/>
        <v>6.8146408561958447</v>
      </c>
      <c r="H16" t="s">
        <v>20</v>
      </c>
      <c r="I16" s="12">
        <f ca="1">OFFSET(C$2, (ROWS(C$2:C16)-1)*3,0,1,1)</f>
        <v>6.7841018138694658</v>
      </c>
    </row>
    <row r="17" spans="1:9" x14ac:dyDescent="0.35">
      <c r="A17" s="1">
        <v>36251</v>
      </c>
      <c r="B17" s="4">
        <v>2.1966111781662523</v>
      </c>
      <c r="C17" s="13">
        <f t="shared" si="0"/>
        <v>6.7875285405337191</v>
      </c>
      <c r="H17" t="s">
        <v>21</v>
      </c>
      <c r="I17" s="12">
        <f ca="1">OFFSET(C$2, (ROWS(C$2:C17)-1)*3,0,1,1)</f>
        <v>6.3476548205227363</v>
      </c>
    </row>
    <row r="18" spans="1:9" x14ac:dyDescent="0.35">
      <c r="A18" s="1">
        <v>36281</v>
      </c>
      <c r="B18" s="4">
        <v>2.204870587226909</v>
      </c>
      <c r="C18" s="13">
        <f t="shared" si="0"/>
        <v>6.8130501145311486</v>
      </c>
      <c r="H18" t="s">
        <v>22</v>
      </c>
      <c r="I18" s="12">
        <f ca="1">OFFSET(C$2, (ROWS(C$2:C18)-1)*3,0,1,1)</f>
        <v>6.475886072763644</v>
      </c>
    </row>
    <row r="19" spans="1:9" x14ac:dyDescent="0.35">
      <c r="A19" s="1">
        <v>36312</v>
      </c>
      <c r="B19" s="4">
        <v>2.2028708054257908</v>
      </c>
      <c r="C19" s="13">
        <f t="shared" si="0"/>
        <v>6.8068707887656936</v>
      </c>
      <c r="H19" t="s">
        <v>23</v>
      </c>
      <c r="I19" s="12">
        <f ca="1">OFFSET(C$2, (ROWS(C$2:C19)-1)*3,0,1,1)</f>
        <v>6.2802632239989817</v>
      </c>
    </row>
    <row r="20" spans="1:9" x14ac:dyDescent="0.35">
      <c r="A20" s="1">
        <v>36342</v>
      </c>
      <c r="B20" s="4">
        <v>2.2197607792321823</v>
      </c>
      <c r="C20" s="13">
        <f t="shared" si="0"/>
        <v>6.8590608078274427</v>
      </c>
      <c r="H20" t="s">
        <v>24</v>
      </c>
      <c r="I20" s="12">
        <f ca="1">OFFSET(C$2, (ROWS(C$2:C20)-1)*3,0,1,1)</f>
        <v>6.2949448794392282</v>
      </c>
    </row>
    <row r="21" spans="1:9" x14ac:dyDescent="0.35">
      <c r="A21" s="1">
        <v>36373</v>
      </c>
      <c r="B21" s="4">
        <v>2.1742231888326664</v>
      </c>
      <c r="C21" s="13">
        <f t="shared" si="0"/>
        <v>6.7183496534929388</v>
      </c>
      <c r="H21" t="s">
        <v>25</v>
      </c>
      <c r="I21" s="12">
        <f ca="1">OFFSET(C$2, (ROWS(C$2:C21)-1)*3,0,1,1)</f>
        <v>6.398949233664502</v>
      </c>
    </row>
    <row r="22" spans="1:9" x14ac:dyDescent="0.35">
      <c r="A22" s="1">
        <v>36404</v>
      </c>
      <c r="B22" s="4">
        <v>2.145309152963395</v>
      </c>
      <c r="C22" s="13">
        <f t="shared" si="0"/>
        <v>6.6290052826568902</v>
      </c>
      <c r="H22" t="s">
        <v>26</v>
      </c>
      <c r="I22" s="12">
        <f ca="1">OFFSET(C$2, (ROWS(C$2:C22)-1)*3,0,1,1)</f>
        <v>6.3183833193242069</v>
      </c>
    </row>
    <row r="23" spans="1:9" x14ac:dyDescent="0.35">
      <c r="A23" s="1">
        <v>36434</v>
      </c>
      <c r="B23" s="4">
        <v>2.1576912436191966</v>
      </c>
      <c r="C23" s="13">
        <f t="shared" si="0"/>
        <v>6.6672659427833176</v>
      </c>
      <c r="H23" t="s">
        <v>27</v>
      </c>
      <c r="I23" s="12">
        <f ca="1">OFFSET(C$2, (ROWS(C$2:C23)-1)*3,0,1,1)</f>
        <v>6.3146135170842115</v>
      </c>
    </row>
    <row r="24" spans="1:9" x14ac:dyDescent="0.35">
      <c r="A24" s="1">
        <v>36465</v>
      </c>
      <c r="B24" s="4">
        <v>2.1614526387575701</v>
      </c>
      <c r="C24" s="13">
        <f t="shared" si="0"/>
        <v>6.6788886537608914</v>
      </c>
      <c r="H24" t="s">
        <v>28</v>
      </c>
      <c r="I24" s="12">
        <f ca="1">OFFSET(C$2, (ROWS(C$2:C24)-1)*3,0,1,1)</f>
        <v>6.2154350496453272</v>
      </c>
    </row>
    <row r="25" spans="1:9" x14ac:dyDescent="0.35">
      <c r="A25" s="1">
        <v>36495</v>
      </c>
      <c r="B25" s="4">
        <v>2.1622861404439004</v>
      </c>
      <c r="C25" s="13">
        <f t="shared" si="0"/>
        <v>6.6814641739716523</v>
      </c>
      <c r="H25" t="s">
        <v>29</v>
      </c>
      <c r="I25" s="12">
        <f ca="1">OFFSET(C$2, (ROWS(C$2:C25)-1)*3,0,1,1)</f>
        <v>6.3256756938107266</v>
      </c>
    </row>
    <row r="26" spans="1:9" x14ac:dyDescent="0.35">
      <c r="A26" s="1">
        <v>36526</v>
      </c>
      <c r="B26" s="4">
        <v>2.2226222608563888</v>
      </c>
      <c r="C26" s="13">
        <f t="shared" si="0"/>
        <v>6.8679027860462414</v>
      </c>
      <c r="H26" t="s">
        <v>30</v>
      </c>
      <c r="I26" s="12">
        <f ca="1">OFFSET(C$2, (ROWS(C$2:C26)-1)*3,0,1,1)</f>
        <v>6.2984967105116825</v>
      </c>
    </row>
    <row r="27" spans="1:9" x14ac:dyDescent="0.35">
      <c r="A27" s="1">
        <v>36557</v>
      </c>
      <c r="B27" s="4">
        <v>2.1751189398618731</v>
      </c>
      <c r="C27" s="13">
        <f t="shared" si="0"/>
        <v>6.721117524173188</v>
      </c>
      <c r="H27" t="s">
        <v>31</v>
      </c>
      <c r="I27" s="12">
        <f ca="1">OFFSET(C$2, (ROWS(C$2:C27)-1)*3,0,1,1)</f>
        <v>6.1187338174185761</v>
      </c>
    </row>
    <row r="28" spans="1:9" x14ac:dyDescent="0.35">
      <c r="A28" s="1">
        <v>36586</v>
      </c>
      <c r="B28" s="4">
        <v>2.202766221398079</v>
      </c>
      <c r="C28" s="13">
        <f t="shared" si="0"/>
        <v>6.8065476241200633</v>
      </c>
      <c r="H28" t="s">
        <v>32</v>
      </c>
      <c r="I28" s="12">
        <f ca="1">OFFSET(C$2, (ROWS(C$2:C28)-1)*3,0,1,1)</f>
        <v>6.1291413506739314</v>
      </c>
    </row>
    <row r="29" spans="1:9" x14ac:dyDescent="0.35">
      <c r="A29" s="1">
        <v>36617</v>
      </c>
      <c r="B29" s="4">
        <v>2.1961984223422806</v>
      </c>
      <c r="C29" s="13">
        <f t="shared" si="0"/>
        <v>6.7862531250376463</v>
      </c>
      <c r="H29" t="s">
        <v>33</v>
      </c>
      <c r="I29" s="12">
        <f ca="1">OFFSET(C$2, (ROWS(C$2:C29)-1)*3,0,1,1)</f>
        <v>6.1312346432735669</v>
      </c>
    </row>
    <row r="30" spans="1:9" x14ac:dyDescent="0.35">
      <c r="A30" s="1">
        <v>36647</v>
      </c>
      <c r="B30" s="4">
        <v>2.2094215766753593</v>
      </c>
      <c r="C30" s="13">
        <f t="shared" si="0"/>
        <v>6.8271126719268596</v>
      </c>
      <c r="H30" t="s">
        <v>34</v>
      </c>
      <c r="I30" s="12">
        <f ca="1">OFFSET(C$2, (ROWS(C$2:C30)-1)*3,0,1,1)</f>
        <v>5.8580242675695011</v>
      </c>
    </row>
    <row r="31" spans="1:9" x14ac:dyDescent="0.35">
      <c r="A31" s="1">
        <v>36678</v>
      </c>
      <c r="B31" s="4">
        <v>2.2016023222784709</v>
      </c>
      <c r="C31" s="13">
        <f t="shared" si="0"/>
        <v>6.8029511758404748</v>
      </c>
      <c r="H31" t="s">
        <v>35</v>
      </c>
      <c r="I31" s="12">
        <f ca="1">OFFSET(C$2, (ROWS(C$2:C31)-1)*3,0,1,1)</f>
        <v>6.223519102090056</v>
      </c>
    </row>
    <row r="32" spans="1:9" x14ac:dyDescent="0.35">
      <c r="A32" s="1">
        <v>36708</v>
      </c>
      <c r="B32" s="4">
        <v>2.1897693139979535</v>
      </c>
      <c r="C32" s="13">
        <f t="shared" si="0"/>
        <v>6.7663871802536759</v>
      </c>
      <c r="H32" t="s">
        <v>36</v>
      </c>
      <c r="I32" s="12">
        <f ca="1">OFFSET(C$2, (ROWS(C$2:C32)-1)*3,0,1,1)</f>
        <v>6.0192067076471707</v>
      </c>
    </row>
    <row r="33" spans="1:9" x14ac:dyDescent="0.35">
      <c r="A33" s="1">
        <v>36739</v>
      </c>
      <c r="B33" s="4">
        <v>2.1747065126622935</v>
      </c>
      <c r="C33" s="13">
        <f t="shared" si="0"/>
        <v>6.7198431241264869</v>
      </c>
      <c r="H33" t="s">
        <v>37</v>
      </c>
      <c r="I33" s="12">
        <f ca="1">OFFSET(C$2, (ROWS(C$2:C33)-1)*3,0,1,1)</f>
        <v>5.5022618581615816</v>
      </c>
    </row>
    <row r="34" spans="1:9" x14ac:dyDescent="0.35">
      <c r="A34" s="1">
        <v>36770</v>
      </c>
      <c r="B34" s="4">
        <v>2.1995745137677893</v>
      </c>
      <c r="C34" s="13">
        <f t="shared" si="0"/>
        <v>6.7966852475424684</v>
      </c>
      <c r="H34" t="s">
        <v>38</v>
      </c>
      <c r="I34" s="12">
        <f ca="1">OFFSET(C$2, (ROWS(C$2:C34)-1)*3,0,1,1)</f>
        <v>5.4292981845633639</v>
      </c>
    </row>
    <row r="35" spans="1:9" x14ac:dyDescent="0.35">
      <c r="A35" s="1">
        <v>36800</v>
      </c>
      <c r="B35" s="4">
        <v>2.2059463073908567</v>
      </c>
      <c r="C35" s="13">
        <f t="shared" si="0"/>
        <v>6.8163740898377467</v>
      </c>
      <c r="H35" t="s">
        <v>39</v>
      </c>
      <c r="I35" s="12">
        <f ca="1">OFFSET(C$2, (ROWS(C$2:C35)-1)*3,0,1,1)</f>
        <v>5.4142113552235491</v>
      </c>
    </row>
    <row r="36" spans="1:9" x14ac:dyDescent="0.35">
      <c r="A36" s="1">
        <v>36831</v>
      </c>
      <c r="B36" s="4">
        <v>2.2001816081105274</v>
      </c>
      <c r="C36" s="13">
        <f t="shared" si="0"/>
        <v>6.7985611690615295</v>
      </c>
      <c r="H36" t="s">
        <v>40</v>
      </c>
      <c r="I36" s="12">
        <f ca="1">OFFSET(C$2, (ROWS(C$2:C36)-1)*3,0,1,1)</f>
        <v>5.4250826671475192</v>
      </c>
    </row>
    <row r="37" spans="1:9" x14ac:dyDescent="0.35">
      <c r="A37" s="1">
        <v>36861</v>
      </c>
      <c r="B37" s="4">
        <v>2.166767415611325</v>
      </c>
      <c r="C37" s="13">
        <f t="shared" si="0"/>
        <v>6.6953113142389942</v>
      </c>
      <c r="H37" t="s">
        <v>41</v>
      </c>
      <c r="I37" s="12">
        <f ca="1">OFFSET(C$2, (ROWS(C$2:C37)-1)*3,0,1,1)</f>
        <v>5.1571015306409755</v>
      </c>
    </row>
    <row r="38" spans="1:9" x14ac:dyDescent="0.35">
      <c r="A38" s="1">
        <v>36892</v>
      </c>
      <c r="B38" s="4">
        <v>2.1450120508452231</v>
      </c>
      <c r="C38" s="13">
        <f t="shared" si="0"/>
        <v>6.628087237111739</v>
      </c>
      <c r="H38" t="s">
        <v>42</v>
      </c>
      <c r="I38" s="12">
        <f ca="1">OFFSET(C$2, (ROWS(C$2:C38)-1)*3,0,1,1)</f>
        <v>5.2537625097732974</v>
      </c>
    </row>
    <row r="39" spans="1:9" x14ac:dyDescent="0.35">
      <c r="A39" s="1">
        <v>36923</v>
      </c>
      <c r="B39" s="4">
        <v>2.0543824882576756</v>
      </c>
      <c r="C39" s="13">
        <f t="shared" si="0"/>
        <v>6.3480418887162173</v>
      </c>
      <c r="H39" t="s">
        <v>43</v>
      </c>
      <c r="I39" s="12">
        <f ca="1">OFFSET(C$2, (ROWS(C$2:C39)-1)*3,0,1,1)</f>
        <v>5.2244587741278607</v>
      </c>
    </row>
    <row r="40" spans="1:9" x14ac:dyDescent="0.35">
      <c r="A40" s="1">
        <v>36951</v>
      </c>
      <c r="B40" s="4">
        <v>2.0903424297154909</v>
      </c>
      <c r="C40" s="13">
        <f t="shared" si="0"/>
        <v>6.4591581078208664</v>
      </c>
      <c r="H40" t="s">
        <v>44</v>
      </c>
      <c r="I40" s="12">
        <f ca="1">OFFSET(C$2, (ROWS(C$2:C40)-1)*3,0,1,1)</f>
        <v>5.2069617503144627</v>
      </c>
    </row>
    <row r="41" spans="1:9" x14ac:dyDescent="0.35">
      <c r="A41" s="1">
        <v>36982</v>
      </c>
      <c r="B41" s="4">
        <v>2.1669885105310782</v>
      </c>
      <c r="C41" s="13">
        <f t="shared" si="0"/>
        <v>6.6959944975410313</v>
      </c>
      <c r="H41" t="s">
        <v>45</v>
      </c>
      <c r="I41" s="12">
        <f ca="1">OFFSET(C$2, (ROWS(C$2:C41)-1)*3,0,1,1)</f>
        <v>5.2297079358029972</v>
      </c>
    </row>
    <row r="42" spans="1:9" x14ac:dyDescent="0.35">
      <c r="A42" s="1">
        <v>37012</v>
      </c>
      <c r="B42" s="4">
        <v>2.1579581553291707</v>
      </c>
      <c r="C42" s="13">
        <f t="shared" si="0"/>
        <v>6.668090699967137</v>
      </c>
      <c r="H42" t="s">
        <v>46</v>
      </c>
      <c r="I42" s="12">
        <f ca="1">OFFSET(C$2, (ROWS(C$2:C42)-1)*3,0,1,1)</f>
        <v>5.2331206920465716</v>
      </c>
    </row>
    <row r="43" spans="1:9" x14ac:dyDescent="0.35">
      <c r="A43" s="1">
        <v>37043</v>
      </c>
      <c r="B43" s="4">
        <v>2.1854315236791768</v>
      </c>
      <c r="C43" s="13">
        <f t="shared" si="0"/>
        <v>6.7529834081686557</v>
      </c>
      <c r="H43" t="s">
        <v>47</v>
      </c>
      <c r="I43" s="12">
        <f ca="1">OFFSET(C$2, (ROWS(C$2:C43)-1)*3,0,1,1)</f>
        <v>5.2516695874927874</v>
      </c>
    </row>
    <row r="44" spans="1:9" x14ac:dyDescent="0.35">
      <c r="A44" s="1">
        <v>37073</v>
      </c>
      <c r="B44" s="4">
        <v>2.1955022051357496</v>
      </c>
      <c r="C44" s="13">
        <f t="shared" si="0"/>
        <v>6.7841018138694658</v>
      </c>
      <c r="H44" t="s">
        <v>48</v>
      </c>
      <c r="I44" s="12">
        <f ca="1">OFFSET(C$2, (ROWS(C$2:C44)-1)*3,0,1,1)</f>
        <v>5.2204833615285011</v>
      </c>
    </row>
    <row r="45" spans="1:9" x14ac:dyDescent="0.35">
      <c r="A45" s="1">
        <v>37104</v>
      </c>
      <c r="B45" s="4">
        <v>2.1734635049571747</v>
      </c>
      <c r="C45" s="13">
        <f t="shared" si="0"/>
        <v>6.7160022303176694</v>
      </c>
      <c r="H45" t="s">
        <v>49</v>
      </c>
      <c r="I45" s="12">
        <f ca="1">OFFSET(C$2, (ROWS(C$2:C45)-1)*3,0,1,1)</f>
        <v>5.3414151518034112</v>
      </c>
    </row>
    <row r="46" spans="1:9" x14ac:dyDescent="0.35">
      <c r="A46" s="1">
        <v>37135</v>
      </c>
      <c r="B46" s="4">
        <v>2.0184678874905657</v>
      </c>
      <c r="C46" s="13">
        <f t="shared" si="0"/>
        <v>6.237065772345848</v>
      </c>
      <c r="H46" t="s">
        <v>50</v>
      </c>
      <c r="I46" s="12">
        <f ca="1">OFFSET(C$2, (ROWS(C$2:C46)-1)*3,0,1,1)</f>
        <v>5.6354943278395009</v>
      </c>
    </row>
    <row r="47" spans="1:9" x14ac:dyDescent="0.35">
      <c r="A47" s="1">
        <v>37165</v>
      </c>
      <c r="B47" s="4">
        <v>2.0542572234701413</v>
      </c>
      <c r="C47" s="13">
        <f t="shared" si="0"/>
        <v>6.3476548205227363</v>
      </c>
      <c r="H47" t="s">
        <v>51</v>
      </c>
      <c r="I47" s="12">
        <f ca="1">OFFSET(C$2, (ROWS(C$2:C47)-1)*3,0,1,1)</f>
        <v>5.5029542373792406</v>
      </c>
    </row>
    <row r="48" spans="1:9" x14ac:dyDescent="0.35">
      <c r="A48" s="1">
        <v>37196</v>
      </c>
      <c r="B48" s="4">
        <v>1.9967041980389528</v>
      </c>
      <c r="C48" s="13">
        <f t="shared" si="0"/>
        <v>6.1698159719403636</v>
      </c>
      <c r="H48" t="s">
        <v>52</v>
      </c>
      <c r="I48" s="12">
        <f ca="1">OFFSET(C$2, (ROWS(C$2:C48)-1)*3,0,1,1)</f>
        <v>5.1450753737398971</v>
      </c>
    </row>
    <row r="49" spans="1:9" x14ac:dyDescent="0.35">
      <c r="A49" s="1">
        <v>37226</v>
      </c>
      <c r="B49" s="4">
        <v>2.0570636666669984</v>
      </c>
      <c r="C49" s="13">
        <f t="shared" si="0"/>
        <v>6.3563267300010242</v>
      </c>
      <c r="H49" t="s">
        <v>53</v>
      </c>
      <c r="I49" s="12">
        <f ca="1">OFFSET(C$2, (ROWS(C$2:C49)-1)*3,0,1,1)</f>
        <v>4.952506935370744</v>
      </c>
    </row>
    <row r="50" spans="1:9" x14ac:dyDescent="0.35">
      <c r="A50" s="1">
        <v>37257</v>
      </c>
      <c r="B50" s="4">
        <v>2.0957560106031212</v>
      </c>
      <c r="C50" s="13">
        <f t="shared" si="0"/>
        <v>6.475886072763644</v>
      </c>
      <c r="H50" t="s">
        <v>54</v>
      </c>
      <c r="I50" s="12">
        <f ca="1">OFFSET(C$2, (ROWS(C$2:C50)-1)*3,0,1,1)</f>
        <v>4.1274925299214233</v>
      </c>
    </row>
    <row r="51" spans="1:9" x14ac:dyDescent="0.35">
      <c r="A51" s="1">
        <v>37288</v>
      </c>
      <c r="B51" s="4">
        <v>2.0663460971879113</v>
      </c>
      <c r="C51" s="13">
        <f t="shared" si="0"/>
        <v>6.3850094403106459</v>
      </c>
      <c r="H51" t="s">
        <v>55</v>
      </c>
      <c r="I51" s="12">
        <f ca="1">OFFSET(C$2, (ROWS(C$2:C51)-1)*3,0,1,1)</f>
        <v>3.7807161269850376</v>
      </c>
    </row>
    <row r="52" spans="1:9" x14ac:dyDescent="0.35">
      <c r="A52" s="1">
        <v>37316</v>
      </c>
      <c r="B52" s="4">
        <v>2.0447584686211067</v>
      </c>
      <c r="C52" s="13">
        <f t="shared" si="0"/>
        <v>6.3183036680392197</v>
      </c>
      <c r="H52" t="s">
        <v>56</v>
      </c>
      <c r="I52" s="12">
        <f ca="1">OFFSET(C$2, (ROWS(C$2:C52)-1)*3,0,1,1)</f>
        <v>3.4674639832870264</v>
      </c>
    </row>
    <row r="53" spans="1:9" x14ac:dyDescent="0.35">
      <c r="A53" s="1">
        <v>37347</v>
      </c>
      <c r="B53" s="4">
        <v>2.0324476453071139</v>
      </c>
      <c r="C53" s="13">
        <f t="shared" si="0"/>
        <v>6.2802632239989817</v>
      </c>
      <c r="H53" t="s">
        <v>57</v>
      </c>
      <c r="I53" s="12">
        <f ca="1">OFFSET(C$2, (ROWS(C$2:C53)-1)*3,0,1,1)</f>
        <v>3.3206179478166802</v>
      </c>
    </row>
    <row r="54" spans="1:9" x14ac:dyDescent="0.35">
      <c r="A54" s="1">
        <v>37377</v>
      </c>
      <c r="B54" s="4">
        <v>1.9961275005034345</v>
      </c>
      <c r="C54" s="13">
        <f t="shared" si="0"/>
        <v>6.1680339765556118</v>
      </c>
      <c r="H54" t="s">
        <v>58</v>
      </c>
      <c r="I54" s="12">
        <f ca="1">OFFSET(C$2, (ROWS(C$2:C54)-1)*3,0,1,1)</f>
        <v>3.2131402031295559</v>
      </c>
    </row>
    <row r="55" spans="1:9" x14ac:dyDescent="0.35">
      <c r="A55" s="1">
        <v>37408</v>
      </c>
      <c r="B55" s="4">
        <v>2.0360515626803823</v>
      </c>
      <c r="C55" s="13">
        <f t="shared" si="0"/>
        <v>6.2913993286823811</v>
      </c>
      <c r="H55" t="s">
        <v>59</v>
      </c>
      <c r="I55" s="12">
        <f ca="1">OFFSET(C$2, (ROWS(C$2:C55)-1)*3,0,1,1)</f>
        <v>2.9738940990649323</v>
      </c>
    </row>
    <row r="56" spans="1:9" x14ac:dyDescent="0.35">
      <c r="A56" s="1">
        <v>37438</v>
      </c>
      <c r="B56" s="4">
        <v>2.0371989901097827</v>
      </c>
      <c r="C56" s="13">
        <f t="shared" si="0"/>
        <v>6.2949448794392282</v>
      </c>
      <c r="H56" t="s">
        <v>60</v>
      </c>
      <c r="I56" s="12">
        <f ca="1">OFFSET(C$2, (ROWS(C$2:C56)-1)*3,0,1,1)</f>
        <v>2.7112628185423655</v>
      </c>
    </row>
    <row r="57" spans="1:9" x14ac:dyDescent="0.35">
      <c r="A57" s="1">
        <v>37469</v>
      </c>
      <c r="B57" s="4">
        <v>2.2263027829445488</v>
      </c>
      <c r="C57" s="13">
        <f t="shared" si="0"/>
        <v>6.879275599298655</v>
      </c>
      <c r="H57" t="s">
        <v>61</v>
      </c>
      <c r="I57" s="12">
        <f ca="1">OFFSET(C$2, (ROWS(C$2:C57)-1)*3,0,1,1)</f>
        <v>2.5305809785787914</v>
      </c>
    </row>
    <row r="58" spans="1:9" x14ac:dyDescent="0.35">
      <c r="A58" s="1">
        <v>37500</v>
      </c>
      <c r="B58" s="4">
        <v>2.067481512306677</v>
      </c>
      <c r="C58" s="13">
        <f t="shared" si="0"/>
        <v>6.3885178730276317</v>
      </c>
      <c r="H58" t="s">
        <v>62</v>
      </c>
      <c r="I58" s="12">
        <f ca="1">OFFSET(C$2, (ROWS(C$2:C58)-1)*3,0,1,1)</f>
        <v>2.4133491028081813</v>
      </c>
    </row>
    <row r="59" spans="1:9" x14ac:dyDescent="0.35">
      <c r="A59" s="1">
        <v>37530</v>
      </c>
      <c r="B59" s="4">
        <v>2.070857357172978</v>
      </c>
      <c r="C59" s="13">
        <f t="shared" si="0"/>
        <v>6.398949233664502</v>
      </c>
      <c r="H59" t="s">
        <v>63</v>
      </c>
      <c r="I59" s="12">
        <f ca="1">OFFSET(C$2, (ROWS(C$2:C59)-1)*3,0,1,1)</f>
        <v>2.2720034199389048</v>
      </c>
    </row>
    <row r="60" spans="1:9" x14ac:dyDescent="0.35">
      <c r="A60" s="1">
        <v>37561</v>
      </c>
      <c r="B60" s="4">
        <v>2.0661073869198616</v>
      </c>
      <c r="C60" s="13">
        <f t="shared" si="0"/>
        <v>6.3842718255823723</v>
      </c>
      <c r="H60" t="s">
        <v>64</v>
      </c>
      <c r="I60" s="12">
        <f ca="1">OFFSET(C$2, (ROWS(C$2:C60)-1)*3,0,1,1)</f>
        <v>2.0221483236811517</v>
      </c>
    </row>
    <row r="61" spans="1:9" x14ac:dyDescent="0.35">
      <c r="A61" s="1">
        <v>37591</v>
      </c>
      <c r="B61" s="4">
        <v>2.0594827464173986</v>
      </c>
      <c r="C61" s="13">
        <f t="shared" si="0"/>
        <v>6.3638016864297615</v>
      </c>
      <c r="H61" t="s">
        <v>65</v>
      </c>
      <c r="I61" s="12">
        <f ca="1">OFFSET(C$2, (ROWS(C$2:C61)-1)*3,0,1,1)</f>
        <v>1.9185688147194488</v>
      </c>
    </row>
    <row r="62" spans="1:9" x14ac:dyDescent="0.35">
      <c r="A62" s="1">
        <v>37622</v>
      </c>
      <c r="B62" s="4">
        <v>2.0447842457359893</v>
      </c>
      <c r="C62" s="13">
        <f t="shared" si="0"/>
        <v>6.3183833193242069</v>
      </c>
      <c r="H62" t="s">
        <v>66</v>
      </c>
      <c r="I62" s="12">
        <f ca="1">OFFSET(C$2, (ROWS(C$2:C62)-1)*3,0,1,1)</f>
        <v>1.8421331540898804</v>
      </c>
    </row>
    <row r="63" spans="1:9" x14ac:dyDescent="0.35">
      <c r="A63" s="1">
        <v>37653</v>
      </c>
      <c r="B63" s="4">
        <v>2.053902794349336</v>
      </c>
      <c r="C63" s="13">
        <f t="shared" si="0"/>
        <v>6.3465596345394477</v>
      </c>
      <c r="H63" t="s">
        <v>67</v>
      </c>
      <c r="I63" s="12">
        <f ca="1">OFFSET(C$2, (ROWS(C$2:C63)-1)*3,0,1,1)</f>
        <v>1.7178093689654654</v>
      </c>
    </row>
    <row r="64" spans="1:9" x14ac:dyDescent="0.35">
      <c r="A64" s="1">
        <v>37681</v>
      </c>
      <c r="B64" s="4">
        <v>2.0447312161953874</v>
      </c>
      <c r="C64" s="13">
        <f t="shared" si="0"/>
        <v>6.318219458043747</v>
      </c>
      <c r="H64" t="s">
        <v>68</v>
      </c>
      <c r="I64" s="12">
        <f ca="1">OFFSET(C$2, (ROWS(C$2:C64)-1)*3,0,1,1)</f>
        <v>1.6621741142692787</v>
      </c>
    </row>
    <row r="65" spans="1:9" x14ac:dyDescent="0.35">
      <c r="A65" s="1">
        <v>37712</v>
      </c>
      <c r="B65" s="4">
        <v>2.0435642450110718</v>
      </c>
      <c r="C65" s="13">
        <f t="shared" si="0"/>
        <v>6.3146135170842115</v>
      </c>
      <c r="H65" t="s">
        <v>69</v>
      </c>
      <c r="I65" s="12">
        <f ca="1">OFFSET(C$2, (ROWS(C$2:C65)-1)*3,0,1,1)</f>
        <v>1.5862747560809278</v>
      </c>
    </row>
    <row r="66" spans="1:9" x14ac:dyDescent="0.35">
      <c r="A66" s="1">
        <v>37742</v>
      </c>
      <c r="B66" s="4">
        <v>2.03842608229635</v>
      </c>
      <c r="C66" s="13">
        <f t="shared" si="0"/>
        <v>6.298736594295721</v>
      </c>
      <c r="H66" t="s">
        <v>70</v>
      </c>
      <c r="I66" s="12">
        <f ca="1">OFFSET(C$2, (ROWS(C$2:C66)-1)*3,0,1,1)</f>
        <v>1.5066004630649978</v>
      </c>
    </row>
    <row r="67" spans="1:9" x14ac:dyDescent="0.35">
      <c r="A67" s="1">
        <v>37773</v>
      </c>
      <c r="B67" s="4">
        <v>2.014987002892727</v>
      </c>
      <c r="C67" s="13">
        <f t="shared" ref="C67:C130" si="1">B67*3.09</f>
        <v>6.2263098389385263</v>
      </c>
      <c r="H67" t="s">
        <v>71</v>
      </c>
      <c r="I67" s="12">
        <f ca="1">OFFSET(C$2, (ROWS(C$2:C67)-1)*3,0,1,1)</f>
        <v>1.4079688959040497</v>
      </c>
    </row>
    <row r="68" spans="1:9" x14ac:dyDescent="0.35">
      <c r="A68" s="1">
        <v>37803</v>
      </c>
      <c r="B68" s="4">
        <v>2.0114676536069021</v>
      </c>
      <c r="C68" s="13">
        <f t="shared" si="1"/>
        <v>6.2154350496453272</v>
      </c>
      <c r="H68" t="s">
        <v>72</v>
      </c>
      <c r="I68" s="12">
        <f ca="1">OFFSET(C$2, (ROWS(C$2:C68)-1)*3,0,1,1)</f>
        <v>1.3668024513499775</v>
      </c>
    </row>
    <row r="69" spans="1:9" x14ac:dyDescent="0.35">
      <c r="A69" s="1">
        <v>37834</v>
      </c>
      <c r="B69" s="4">
        <v>2.0379422858067824</v>
      </c>
      <c r="C69" s="13">
        <f t="shared" si="1"/>
        <v>6.2972416631429571</v>
      </c>
      <c r="H69" t="s">
        <v>73</v>
      </c>
      <c r="I69" s="12">
        <f ca="1">OFFSET(C$2, (ROWS(C$2:C69)-1)*3,0,1,1)</f>
        <v>1.3061972936912902</v>
      </c>
    </row>
    <row r="70" spans="1:9" x14ac:dyDescent="0.35">
      <c r="A70" s="1">
        <v>37865</v>
      </c>
      <c r="B70" s="4">
        <v>2.042112425472479</v>
      </c>
      <c r="C70" s="13">
        <f t="shared" si="1"/>
        <v>6.3101273947099594</v>
      </c>
      <c r="H70" t="s">
        <v>74</v>
      </c>
      <c r="I70" s="12">
        <f ca="1">OFFSET(C$2, (ROWS(C$2:C70)-1)*3,0,1,1)</f>
        <v>1.2593951772719132</v>
      </c>
    </row>
    <row r="71" spans="1:9" x14ac:dyDescent="0.35">
      <c r="A71" s="1">
        <v>37895</v>
      </c>
      <c r="B71" s="4">
        <v>2.0471442374791997</v>
      </c>
      <c r="C71" s="13">
        <f t="shared" si="1"/>
        <v>6.3256756938107266</v>
      </c>
      <c r="H71" t="s">
        <v>75</v>
      </c>
      <c r="I71" s="12">
        <f ca="1">OFFSET(C$2, (ROWS(C$2:C71)-1)*3,0,1,1)</f>
        <v>1.2222348374442775</v>
      </c>
    </row>
    <row r="72" spans="1:9" x14ac:dyDescent="0.35">
      <c r="A72" s="1">
        <v>37926</v>
      </c>
      <c r="B72" s="4">
        <v>2.0511856525152758</v>
      </c>
      <c r="C72" s="13">
        <f t="shared" si="1"/>
        <v>6.3381636662722025</v>
      </c>
      <c r="H72" t="s">
        <v>76</v>
      </c>
      <c r="I72" s="12">
        <f ca="1">OFFSET(C$2, (ROWS(C$2:C72)-1)*3,0,1,1)</f>
        <v>1.2124985026503525</v>
      </c>
    </row>
    <row r="73" spans="1:9" x14ac:dyDescent="0.35">
      <c r="A73" s="1">
        <v>37956</v>
      </c>
      <c r="B73" s="4">
        <v>2.0456221026380126</v>
      </c>
      <c r="C73" s="13">
        <f t="shared" si="1"/>
        <v>6.3209722971514584</v>
      </c>
      <c r="H73" t="s">
        <v>77</v>
      </c>
      <c r="I73" s="12">
        <f ca="1">OFFSET(C$2, (ROWS(C$2:C73)-1)*3,0,1,1)</f>
        <v>1.1781222886058778</v>
      </c>
    </row>
    <row r="74" spans="1:9" x14ac:dyDescent="0.35">
      <c r="A74" s="1">
        <v>37987</v>
      </c>
      <c r="B74" s="4">
        <v>2.038348450003781</v>
      </c>
      <c r="C74" s="13">
        <f t="shared" si="1"/>
        <v>6.2984967105116825</v>
      </c>
      <c r="H74" t="s">
        <v>78</v>
      </c>
      <c r="I74" s="12">
        <f ca="1">OFFSET(C$2, (ROWS(C$2:C74)-1)*3,0,1,1)</f>
        <v>1.1563543423570377</v>
      </c>
    </row>
    <row r="75" spans="1:9" x14ac:dyDescent="0.35">
      <c r="A75" s="1">
        <v>38018</v>
      </c>
      <c r="B75" s="4">
        <v>2.038848586002076</v>
      </c>
      <c r="C75" s="13">
        <f t="shared" si="1"/>
        <v>6.3000421307464141</v>
      </c>
      <c r="H75" t="s">
        <v>79</v>
      </c>
      <c r="I75" s="12">
        <f ca="1">OFFSET(C$2, (ROWS(C$2:C75)-1)*3,0,1,1)</f>
        <v>1.1273481559795679</v>
      </c>
    </row>
    <row r="76" spans="1:9" x14ac:dyDescent="0.35">
      <c r="A76" s="1">
        <v>38047</v>
      </c>
      <c r="B76" s="4">
        <v>2.0306463756310094</v>
      </c>
      <c r="C76" s="13">
        <f t="shared" si="1"/>
        <v>6.2746973006998186</v>
      </c>
      <c r="H76" t="s">
        <v>80</v>
      </c>
      <c r="I76" s="12">
        <f ca="1">OFFSET(C$2, (ROWS(C$2:C76)-1)*3,0,1,1)</f>
        <v>1.1371020426558309</v>
      </c>
    </row>
    <row r="77" spans="1:9" x14ac:dyDescent="0.35">
      <c r="A77" s="1">
        <v>38078</v>
      </c>
      <c r="B77" s="4">
        <v>1.9801727564461413</v>
      </c>
      <c r="C77" s="13">
        <f t="shared" si="1"/>
        <v>6.1187338174185761</v>
      </c>
      <c r="H77" t="s">
        <v>81</v>
      </c>
      <c r="I77" s="12">
        <f ca="1">OFFSET(C$2, (ROWS(C$2:C77)-1)*3,0,1,1)</f>
        <v>1.1495943165920413</v>
      </c>
    </row>
    <row r="78" spans="1:9" x14ac:dyDescent="0.35">
      <c r="A78" s="1">
        <v>38108</v>
      </c>
      <c r="B78" s="4">
        <v>1.9855053026438123</v>
      </c>
      <c r="C78" s="13">
        <f t="shared" si="1"/>
        <v>6.1352113851693799</v>
      </c>
      <c r="H78" t="s">
        <v>82</v>
      </c>
      <c r="I78" s="12">
        <f ca="1">OFFSET(C$2, (ROWS(C$2:C78)-1)*3,0,1,1)</f>
        <v>1.1378930196707011</v>
      </c>
    </row>
    <row r="79" spans="1:9" x14ac:dyDescent="0.35">
      <c r="A79" s="1">
        <v>38139</v>
      </c>
      <c r="B79" s="4">
        <v>1.9814227843833996</v>
      </c>
      <c r="C79" s="13">
        <f t="shared" si="1"/>
        <v>6.122596403744704</v>
      </c>
      <c r="H79" t="s">
        <v>83</v>
      </c>
      <c r="I79" s="12">
        <f ca="1">OFFSET(C$2, (ROWS(C$2:C79)-1)*3,0,1,1)</f>
        <v>1.1239124274860508</v>
      </c>
    </row>
    <row r="80" spans="1:9" x14ac:dyDescent="0.35">
      <c r="A80" s="1">
        <v>38169</v>
      </c>
      <c r="B80" s="4">
        <v>1.9835408901857383</v>
      </c>
      <c r="C80" s="13">
        <f t="shared" si="1"/>
        <v>6.1291413506739314</v>
      </c>
      <c r="H80" t="s">
        <v>84</v>
      </c>
      <c r="I80" s="12">
        <f ca="1">OFFSET(C$2, (ROWS(C$2:C80)-1)*3,0,1,1)</f>
        <v>1.1225919579411643</v>
      </c>
    </row>
    <row r="81" spans="1:9" x14ac:dyDescent="0.35">
      <c r="A81" s="1">
        <v>38200</v>
      </c>
      <c r="B81" s="4">
        <v>1.9950578367419893</v>
      </c>
      <c r="C81" s="13">
        <f t="shared" si="1"/>
        <v>6.164728715532747</v>
      </c>
      <c r="H81" t="s">
        <v>85</v>
      </c>
      <c r="I81" s="12">
        <f ca="1">OFFSET(C$2, (ROWS(C$2:C81)-1)*3,0,1,1)</f>
        <v>1.111987619716192</v>
      </c>
    </row>
    <row r="82" spans="1:9" x14ac:dyDescent="0.35">
      <c r="A82" s="1">
        <v>38231</v>
      </c>
      <c r="B82" s="4">
        <v>1.870663722491658</v>
      </c>
      <c r="C82" s="13">
        <f t="shared" si="1"/>
        <v>5.7803509024992232</v>
      </c>
      <c r="H82" t="s">
        <v>86</v>
      </c>
      <c r="I82" s="12">
        <f ca="1">OFFSET(C$2, (ROWS(C$2:C82)-1)*3,0,1,1)</f>
        <v>1.0297742253150395</v>
      </c>
    </row>
    <row r="83" spans="1:9" x14ac:dyDescent="0.35">
      <c r="A83" s="1">
        <v>38261</v>
      </c>
      <c r="B83" s="4">
        <v>1.9842183311564943</v>
      </c>
      <c r="C83" s="13">
        <f t="shared" si="1"/>
        <v>6.1312346432735669</v>
      </c>
      <c r="H83" t="s">
        <v>87</v>
      </c>
      <c r="I83" s="12">
        <f ca="1">OFFSET(C$2, (ROWS(C$2:C83)-1)*3,0,1,1)</f>
        <v>1.0647830389658921</v>
      </c>
    </row>
    <row r="84" spans="1:9" x14ac:dyDescent="0.35">
      <c r="A84" s="1">
        <v>38292</v>
      </c>
      <c r="B84" s="4">
        <v>1.9820473098432156</v>
      </c>
      <c r="C84" s="13">
        <f t="shared" si="1"/>
        <v>6.1245261874155359</v>
      </c>
      <c r="H84" t="s">
        <v>88</v>
      </c>
      <c r="I84" s="12">
        <f ca="1">OFFSET(C$2, (ROWS(C$2:C84)-1)*3,0,1,1)</f>
        <v>1.0938275056409505</v>
      </c>
    </row>
    <row r="85" spans="1:9" x14ac:dyDescent="0.35">
      <c r="A85" s="1">
        <v>38322</v>
      </c>
      <c r="B85" s="4">
        <v>1.9358375371889998</v>
      </c>
      <c r="C85" s="13">
        <f t="shared" si="1"/>
        <v>5.9817379899140093</v>
      </c>
      <c r="H85" t="s">
        <v>89</v>
      </c>
      <c r="I85" s="12">
        <f ca="1">OFFSET(C$2, (ROWS(C$2:C85)-1)*3,0,1,1)</f>
        <v>1.0577728171135592</v>
      </c>
    </row>
    <row r="86" spans="1:9" x14ac:dyDescent="0.35">
      <c r="A86" s="1">
        <v>38353</v>
      </c>
      <c r="B86" s="4">
        <v>1.8958007338412626</v>
      </c>
      <c r="C86" s="13">
        <f t="shared" si="1"/>
        <v>5.8580242675695011</v>
      </c>
      <c r="H86" t="s">
        <v>90</v>
      </c>
      <c r="I86" s="12">
        <f ca="1">OFFSET(C$2, (ROWS(C$2:C86)-1)*3,0,1,1)</f>
        <v>1.0796398603542958</v>
      </c>
    </row>
    <row r="87" spans="1:9" x14ac:dyDescent="0.35">
      <c r="A87" s="1">
        <v>38384</v>
      </c>
      <c r="B87" s="4">
        <v>1.8937898050513471</v>
      </c>
      <c r="C87" s="13">
        <f t="shared" si="1"/>
        <v>5.8518104976086622</v>
      </c>
      <c r="H87" t="s">
        <v>91</v>
      </c>
      <c r="I87" s="12">
        <f ca="1">OFFSET(C$2, (ROWS(C$2:C87)-1)*3,0,1,1)</f>
        <v>1.0654476648373241</v>
      </c>
    </row>
    <row r="88" spans="1:9" x14ac:dyDescent="0.35">
      <c r="A88" s="1">
        <v>38412</v>
      </c>
      <c r="B88" s="4">
        <v>1.8832228551579719</v>
      </c>
      <c r="C88" s="13">
        <f t="shared" si="1"/>
        <v>5.8191586224381329</v>
      </c>
      <c r="H88" t="s">
        <v>92</v>
      </c>
      <c r="I88" s="12">
        <f ca="1">OFFSET(C$2, (ROWS(C$2:C88)-1)*3,0,1,1)</f>
        <v>1.1062578363777009</v>
      </c>
    </row>
    <row r="89" spans="1:9" x14ac:dyDescent="0.35">
      <c r="A89" s="1">
        <v>38443</v>
      </c>
      <c r="B89" s="4">
        <v>2.0140838518090796</v>
      </c>
      <c r="C89" s="13">
        <f t="shared" si="1"/>
        <v>6.223519102090056</v>
      </c>
      <c r="H89" t="s">
        <v>93</v>
      </c>
      <c r="I89" s="12">
        <f ca="1">OFFSET(C$2, (ROWS(C$2:C89)-1)*3,0,1,1)</f>
        <v>1.1313686936673328</v>
      </c>
    </row>
    <row r="90" spans="1:9" x14ac:dyDescent="0.35">
      <c r="A90" s="1">
        <v>38473</v>
      </c>
      <c r="B90" s="4">
        <v>2.0519079039530448</v>
      </c>
      <c r="C90" s="13">
        <f t="shared" si="1"/>
        <v>6.3403954232149085</v>
      </c>
      <c r="H90" t="s">
        <v>94</v>
      </c>
      <c r="I90" s="12">
        <f ca="1">OFFSET(C$2, (ROWS(C$2:C90)-1)*3,0,1,1)</f>
        <v>1.1735608724413811</v>
      </c>
    </row>
    <row r="91" spans="1:9" x14ac:dyDescent="0.35">
      <c r="A91" s="1">
        <v>38504</v>
      </c>
      <c r="B91" s="4">
        <v>1.9530992057646634</v>
      </c>
      <c r="C91" s="13">
        <f t="shared" si="1"/>
        <v>6.0350765458128102</v>
      </c>
      <c r="H91" t="s">
        <v>95</v>
      </c>
      <c r="I91" s="12">
        <f ca="1">OFFSET(C$2, (ROWS(C$2:C91)-1)*3,0,1,1)</f>
        <v>1.1656556485845155</v>
      </c>
    </row>
    <row r="92" spans="1:9" x14ac:dyDescent="0.35">
      <c r="A92" s="1">
        <v>38534</v>
      </c>
      <c r="B92" s="4">
        <v>1.9479633358081461</v>
      </c>
      <c r="C92" s="13">
        <f t="shared" si="1"/>
        <v>6.0192067076471707</v>
      </c>
      <c r="H92" t="s">
        <v>96</v>
      </c>
      <c r="I92" s="12">
        <f ca="1">OFFSET(C$2, (ROWS(C$2:C92)-1)*3,0,1,1)</f>
        <v>1.0024696631145544</v>
      </c>
    </row>
    <row r="93" spans="1:9" x14ac:dyDescent="0.35">
      <c r="A93" s="1">
        <v>38565</v>
      </c>
      <c r="B93" s="4">
        <v>1.791596336004353</v>
      </c>
      <c r="C93" s="13">
        <f t="shared" si="1"/>
        <v>5.5360326782534504</v>
      </c>
      <c r="H93" t="s">
        <v>97</v>
      </c>
      <c r="I93" s="12">
        <f ca="1">OFFSET(C$2, (ROWS(C$2:C93)-1)*3,0,1,1)</f>
        <v>0.97517358068786653</v>
      </c>
    </row>
    <row r="94" spans="1:9" x14ac:dyDescent="0.35">
      <c r="A94" s="1">
        <v>38596</v>
      </c>
      <c r="B94" s="4">
        <v>1.7838715414662631</v>
      </c>
      <c r="C94" s="13">
        <f t="shared" si="1"/>
        <v>5.5121630631307532</v>
      </c>
      <c r="H94" t="s">
        <v>98</v>
      </c>
      <c r="I94" s="12">
        <f ca="1">OFFSET(C$2, (ROWS(C$2:C94)-1)*3,0,1,1)</f>
        <v>1.2305873438196593</v>
      </c>
    </row>
    <row r="95" spans="1:9" x14ac:dyDescent="0.35">
      <c r="A95" s="1">
        <v>38626</v>
      </c>
      <c r="B95" s="4">
        <v>1.780667268013457</v>
      </c>
      <c r="C95" s="13">
        <f t="shared" si="1"/>
        <v>5.5022618581615816</v>
      </c>
      <c r="H95" t="s">
        <v>99</v>
      </c>
      <c r="I95" s="12">
        <f ca="1">OFFSET(C$2, (ROWS(C$2:C95)-1)*3,0,1,1)</f>
        <v>1.2189676421340934</v>
      </c>
    </row>
    <row r="96" spans="1:9" x14ac:dyDescent="0.35">
      <c r="A96" s="1">
        <v>38657</v>
      </c>
      <c r="B96" s="4">
        <v>1.7777212954916264</v>
      </c>
      <c r="C96" s="13">
        <f t="shared" si="1"/>
        <v>5.4931588030691252</v>
      </c>
      <c r="H96" t="s">
        <v>100</v>
      </c>
      <c r="I96" s="12">
        <f ca="1">OFFSET(C$2, (ROWS(C$2:C96)-1)*3,0,1,1)</f>
        <v>1.2737651299050998</v>
      </c>
    </row>
    <row r="97" spans="1:9" x14ac:dyDescent="0.35">
      <c r="A97" s="1">
        <v>38687</v>
      </c>
      <c r="B97" s="4">
        <v>1.7592701924746692</v>
      </c>
      <c r="C97" s="13">
        <f t="shared" si="1"/>
        <v>5.4361448947467279</v>
      </c>
      <c r="H97" t="s">
        <v>101</v>
      </c>
      <c r="I97" s="12">
        <f ca="1">OFFSET(C$2, (ROWS(C$2:C97)-1)*3,0,1,1)</f>
        <v>1.3426447480597523</v>
      </c>
    </row>
    <row r="98" spans="1:9" x14ac:dyDescent="0.35">
      <c r="A98" s="1">
        <v>38718</v>
      </c>
      <c r="B98" s="4">
        <v>1.757054428661283</v>
      </c>
      <c r="C98" s="13">
        <f t="shared" si="1"/>
        <v>5.4292981845633639</v>
      </c>
      <c r="H98" t="s">
        <v>102</v>
      </c>
      <c r="I98" s="12">
        <f ca="1">OFFSET(C$2, (ROWS(C$2:C98)-1)*3,0,1,1)</f>
        <v>1.268204700259727</v>
      </c>
    </row>
    <row r="99" spans="1:9" x14ac:dyDescent="0.35">
      <c r="A99" s="1">
        <v>38749</v>
      </c>
      <c r="B99" s="4">
        <v>1.6180662425485195</v>
      </c>
      <c r="C99" s="13">
        <f t="shared" si="1"/>
        <v>4.9998246894749254</v>
      </c>
      <c r="H99" t="s">
        <v>103</v>
      </c>
      <c r="I99" s="12">
        <f ca="1">OFFSET(C$2, (ROWS(C$2:C99)-1)*3,0,1,1)</f>
        <v>1.3244297708622415</v>
      </c>
    </row>
    <row r="100" spans="1:9" x14ac:dyDescent="0.35">
      <c r="A100" s="1">
        <v>38777</v>
      </c>
      <c r="B100" s="4">
        <v>1.9044447323828275</v>
      </c>
      <c r="C100" s="13">
        <f t="shared" si="1"/>
        <v>5.8847342230629369</v>
      </c>
      <c r="H100" t="s">
        <v>104</v>
      </c>
      <c r="I100" s="12">
        <f ca="1">OFFSET(C$2, (ROWS(C$2:C100)-1)*3,0,1,1)</f>
        <v>1.4081570646360642</v>
      </c>
    </row>
    <row r="101" spans="1:9" x14ac:dyDescent="0.35">
      <c r="A101" s="1">
        <v>38808</v>
      </c>
      <c r="B101" s="4">
        <v>1.7521719596192715</v>
      </c>
      <c r="C101" s="13">
        <f t="shared" si="1"/>
        <v>5.4142113552235491</v>
      </c>
      <c r="H101" t="s">
        <v>105</v>
      </c>
      <c r="I101" s="12">
        <f ca="1">OFFSET(C$2, (ROWS(C$2:C101)-1)*3,0,1,1)</f>
        <v>1.3460735425440598</v>
      </c>
    </row>
    <row r="102" spans="1:9" x14ac:dyDescent="0.35">
      <c r="A102" s="1">
        <v>38838</v>
      </c>
      <c r="B102" s="4">
        <v>1.7595798486435992</v>
      </c>
      <c r="C102" s="13">
        <f t="shared" si="1"/>
        <v>5.4371017323087214</v>
      </c>
      <c r="H102" t="s">
        <v>106</v>
      </c>
      <c r="I102" s="12">
        <f ca="1">OFFSET(C$2, (ROWS(C$2:C102)-1)*3,0,1,1)</f>
        <v>1.3660770535876758</v>
      </c>
    </row>
    <row r="103" spans="1:9" x14ac:dyDescent="0.35">
      <c r="A103" s="1">
        <v>38869</v>
      </c>
      <c r="B103" s="4">
        <v>1.7608696427179458</v>
      </c>
      <c r="C103" s="13">
        <f t="shared" si="1"/>
        <v>5.4410871959984526</v>
      </c>
      <c r="H103" t="s">
        <v>107</v>
      </c>
      <c r="I103" s="12">
        <f ca="1">OFFSET(C$2, (ROWS(C$2:C103)-1)*3,0,1,1)</f>
        <v>1.3922601986756218</v>
      </c>
    </row>
    <row r="104" spans="1:9" x14ac:dyDescent="0.35">
      <c r="A104" s="1">
        <v>38899</v>
      </c>
      <c r="B104" s="4">
        <v>1.7556901835428864</v>
      </c>
      <c r="C104" s="13">
        <f t="shared" si="1"/>
        <v>5.4250826671475192</v>
      </c>
      <c r="H104" t="s">
        <v>108</v>
      </c>
      <c r="I104" s="12">
        <f ca="1">OFFSET(C$2, (ROWS(C$2:C104)-1)*3,0,1,1)</f>
        <v>1.4907579552642745</v>
      </c>
    </row>
    <row r="105" spans="1:9" x14ac:dyDescent="0.35">
      <c r="A105" s="1">
        <v>38930</v>
      </c>
      <c r="B105" s="4">
        <v>1.6653672259764478</v>
      </c>
      <c r="C105" s="13">
        <f t="shared" si="1"/>
        <v>5.1459847282672238</v>
      </c>
      <c r="H105" t="s">
        <v>109</v>
      </c>
      <c r="I105" s="12">
        <f ca="1">OFFSET(C$2, (ROWS(C$2:C105)-1)*3,0,1,1)</f>
        <v>1.3606483134671026</v>
      </c>
    </row>
    <row r="106" spans="1:9" x14ac:dyDescent="0.35">
      <c r="A106" s="1">
        <v>38961</v>
      </c>
      <c r="B106" s="4">
        <v>1.6696884311836291</v>
      </c>
      <c r="C106" s="13">
        <f t="shared" si="1"/>
        <v>5.1593372523574139</v>
      </c>
      <c r="H106" t="s">
        <v>110</v>
      </c>
      <c r="I106" s="12">
        <f ca="1">OFFSET(C$2, (ROWS(C$2:C106)-1)*3,0,1,1)</f>
        <v>1.3371133763129677</v>
      </c>
    </row>
    <row r="107" spans="1:9" x14ac:dyDescent="0.35">
      <c r="A107" s="1">
        <v>38991</v>
      </c>
      <c r="B107" s="4">
        <v>1.668964896647565</v>
      </c>
      <c r="C107" s="13">
        <f t="shared" si="1"/>
        <v>5.1571015306409755</v>
      </c>
      <c r="H107" t="s">
        <v>111</v>
      </c>
      <c r="I107" s="12">
        <f ca="1">OFFSET(C$2, (ROWS(C$2:C107)-1)*3,0,1,1)</f>
        <v>1.3185844205702064</v>
      </c>
    </row>
    <row r="108" spans="1:9" x14ac:dyDescent="0.35">
      <c r="A108" s="1">
        <v>39022</v>
      </c>
      <c r="B108" s="4">
        <v>1.6702005487209213</v>
      </c>
      <c r="C108" s="13">
        <f t="shared" si="1"/>
        <v>5.1609196955476468</v>
      </c>
      <c r="H108" t="s">
        <v>112</v>
      </c>
      <c r="I108" s="12">
        <f ca="1">OFFSET(C$2, (ROWS(C$2:C108)-1)*3,0,1,1)</f>
        <v>1.2502743272862717</v>
      </c>
    </row>
    <row r="109" spans="1:9" x14ac:dyDescent="0.35">
      <c r="A109" s="1">
        <v>39052</v>
      </c>
      <c r="B109" s="4">
        <v>1.6728614302189546</v>
      </c>
      <c r="C109" s="13">
        <f t="shared" si="1"/>
        <v>5.1691418193765699</v>
      </c>
      <c r="H109" t="s">
        <v>113</v>
      </c>
      <c r="I109" s="12">
        <f ca="1">OFFSET(C$2, (ROWS(C$2:C109)-1)*3,0,1,1)</f>
        <v>1.1957246688001557</v>
      </c>
    </row>
    <row r="110" spans="1:9" x14ac:dyDescent="0.35">
      <c r="A110" s="1">
        <v>39083</v>
      </c>
      <c r="B110" s="6">
        <v>1.7002467669169248</v>
      </c>
      <c r="C110" s="13">
        <f t="shared" si="1"/>
        <v>5.2537625097732974</v>
      </c>
      <c r="H110" t="s">
        <v>114</v>
      </c>
      <c r="I110" s="12">
        <f ca="1">OFFSET(C$2, (ROWS(C$2:C110)-1)*3,0,1,1)</f>
        <v>1.1730852187934233</v>
      </c>
    </row>
    <row r="111" spans="1:9" x14ac:dyDescent="0.35">
      <c r="A111" s="1">
        <v>39114</v>
      </c>
      <c r="B111" s="6">
        <v>1.6841207550277653</v>
      </c>
      <c r="C111" s="13">
        <f t="shared" si="1"/>
        <v>5.2039331330357941</v>
      </c>
      <c r="H111" t="s">
        <v>115</v>
      </c>
      <c r="I111" s="12">
        <f ca="1">OFFSET(C$2, (ROWS(C$2:C111)-1)*3,0,1,1)</f>
        <v>1.1384206829074444</v>
      </c>
    </row>
    <row r="112" spans="1:9" x14ac:dyDescent="0.35">
      <c r="A112" s="1">
        <v>39142</v>
      </c>
      <c r="B112" s="6">
        <v>1.6899655492559962</v>
      </c>
      <c r="C112" s="13">
        <f t="shared" si="1"/>
        <v>5.2219935472010279</v>
      </c>
      <c r="H112" t="s">
        <v>116</v>
      </c>
      <c r="I112" s="12">
        <f ca="1">OFFSET(C$2, (ROWS(C$2:C112)-1)*3,0,1,1)</f>
        <v>1.1242598564017756</v>
      </c>
    </row>
    <row r="113" spans="1:9" x14ac:dyDescent="0.35">
      <c r="A113" s="1">
        <v>39173</v>
      </c>
      <c r="B113" s="6">
        <v>1.6907633573229324</v>
      </c>
      <c r="C113" s="13">
        <f t="shared" si="1"/>
        <v>5.2244587741278607</v>
      </c>
      <c r="H113" t="s">
        <v>117</v>
      </c>
      <c r="I113" s="12">
        <f ca="1">OFFSET(C$2, (ROWS(C$2:C113)-1)*3,0,1,1)</f>
        <v>1.122043991917226</v>
      </c>
    </row>
    <row r="114" spans="1:9" x14ac:dyDescent="0.35">
      <c r="A114" s="1">
        <v>39203</v>
      </c>
      <c r="B114" s="6">
        <v>1.6955962080205043</v>
      </c>
      <c r="C114" s="13">
        <f t="shared" si="1"/>
        <v>5.2393922827833581</v>
      </c>
    </row>
    <row r="115" spans="1:9" x14ac:dyDescent="0.35">
      <c r="A115" s="1">
        <v>39234</v>
      </c>
      <c r="B115" s="6">
        <v>1.681609033237456</v>
      </c>
      <c r="C115" s="13">
        <f t="shared" si="1"/>
        <v>5.1961719127037389</v>
      </c>
    </row>
    <row r="116" spans="1:9" x14ac:dyDescent="0.35">
      <c r="A116" s="1">
        <v>39264</v>
      </c>
      <c r="B116" s="6">
        <v>1.6851008900694056</v>
      </c>
      <c r="C116" s="13">
        <f t="shared" si="1"/>
        <v>5.2069617503144627</v>
      </c>
    </row>
    <row r="117" spans="1:9" x14ac:dyDescent="0.35">
      <c r="A117" s="1">
        <v>39295</v>
      </c>
      <c r="B117" s="6">
        <v>1.6986555131759069</v>
      </c>
      <c r="C117" s="13">
        <f t="shared" si="1"/>
        <v>5.2488455357135519</v>
      </c>
    </row>
    <row r="118" spans="1:9" x14ac:dyDescent="0.35">
      <c r="A118" s="1">
        <v>39326</v>
      </c>
      <c r="B118" s="6">
        <v>1.6926746226801819</v>
      </c>
      <c r="C118" s="13">
        <f t="shared" si="1"/>
        <v>5.2303645840817614</v>
      </c>
    </row>
    <row r="119" spans="1:9" x14ac:dyDescent="0.35">
      <c r="A119" s="1">
        <v>39356</v>
      </c>
      <c r="B119" s="6">
        <v>1.6924621151466011</v>
      </c>
      <c r="C119" s="13">
        <f t="shared" si="1"/>
        <v>5.2297079358029972</v>
      </c>
    </row>
    <row r="120" spans="1:9" x14ac:dyDescent="0.35">
      <c r="A120" s="1">
        <v>39387</v>
      </c>
      <c r="B120" s="6">
        <v>1.6893649132041955</v>
      </c>
      <c r="C120" s="13">
        <f t="shared" si="1"/>
        <v>5.2201375818009641</v>
      </c>
    </row>
    <row r="121" spans="1:9" x14ac:dyDescent="0.35">
      <c r="A121" s="1">
        <v>39417</v>
      </c>
      <c r="B121" s="6">
        <v>1.6928871181249725</v>
      </c>
      <c r="C121" s="13">
        <f t="shared" si="1"/>
        <v>5.2310211950061651</v>
      </c>
    </row>
    <row r="122" spans="1:9" x14ac:dyDescent="0.35">
      <c r="A122" s="1">
        <v>39448</v>
      </c>
      <c r="B122" s="6">
        <v>1.693566567005363</v>
      </c>
      <c r="C122" s="13">
        <f t="shared" si="1"/>
        <v>5.2331206920465716</v>
      </c>
    </row>
    <row r="123" spans="1:9" x14ac:dyDescent="0.35">
      <c r="A123" s="1">
        <v>39479</v>
      </c>
      <c r="B123" s="6">
        <v>1.7087358050755361</v>
      </c>
      <c r="C123" s="13">
        <f t="shared" si="1"/>
        <v>5.2799936376834067</v>
      </c>
    </row>
    <row r="124" spans="1:9" x14ac:dyDescent="0.35">
      <c r="A124" s="1">
        <v>39508</v>
      </c>
      <c r="B124" s="6">
        <v>1.6963911415505899</v>
      </c>
      <c r="C124" s="13">
        <f t="shared" si="1"/>
        <v>5.241848627391323</v>
      </c>
    </row>
    <row r="125" spans="1:9" x14ac:dyDescent="0.35">
      <c r="A125" s="1">
        <v>39539</v>
      </c>
      <c r="B125" s="6">
        <v>1.6995694457905461</v>
      </c>
      <c r="C125" s="13">
        <f t="shared" si="1"/>
        <v>5.2516695874927874</v>
      </c>
    </row>
    <row r="126" spans="1:9" x14ac:dyDescent="0.35">
      <c r="A126" s="1">
        <v>39569</v>
      </c>
      <c r="B126" s="6">
        <v>1.7042041724939123</v>
      </c>
      <c r="C126" s="13">
        <f t="shared" si="1"/>
        <v>5.2659908930061885</v>
      </c>
    </row>
    <row r="127" spans="1:9" x14ac:dyDescent="0.35">
      <c r="A127" s="1">
        <v>39600</v>
      </c>
      <c r="B127" s="6">
        <v>1.6905630598383556</v>
      </c>
      <c r="C127" s="13">
        <f t="shared" si="1"/>
        <v>5.2238398549005183</v>
      </c>
    </row>
    <row r="128" spans="1:9" x14ac:dyDescent="0.35">
      <c r="A128" s="1">
        <v>39630</v>
      </c>
      <c r="B128" s="6">
        <v>1.6894768160286413</v>
      </c>
      <c r="C128" s="13">
        <f t="shared" si="1"/>
        <v>5.2204833615285011</v>
      </c>
    </row>
    <row r="129" spans="1:3" x14ac:dyDescent="0.35">
      <c r="A129" s="1">
        <v>39661</v>
      </c>
      <c r="B129" s="6">
        <v>1.7035509094030625</v>
      </c>
      <c r="C129" s="13">
        <f t="shared" si="1"/>
        <v>5.263972310055463</v>
      </c>
    </row>
    <row r="130" spans="1:3" x14ac:dyDescent="0.35">
      <c r="A130" s="1">
        <v>39692</v>
      </c>
      <c r="B130" s="6">
        <v>1.7222211761919719</v>
      </c>
      <c r="C130" s="13">
        <f t="shared" si="1"/>
        <v>5.3216634344331926</v>
      </c>
    </row>
    <row r="131" spans="1:3" x14ac:dyDescent="0.35">
      <c r="A131" s="1">
        <v>39722</v>
      </c>
      <c r="B131" s="6">
        <v>1.7286133177357319</v>
      </c>
      <c r="C131" s="13">
        <f t="shared" ref="C131:C145" si="2">B131*3.09</f>
        <v>5.3414151518034112</v>
      </c>
    </row>
    <row r="132" spans="1:3" x14ac:dyDescent="0.35">
      <c r="A132" s="1">
        <v>39753</v>
      </c>
      <c r="B132" s="6">
        <v>1.7108221059153079</v>
      </c>
      <c r="C132" s="13">
        <f t="shared" si="2"/>
        <v>5.2864403072783013</v>
      </c>
    </row>
    <row r="133" spans="1:3" x14ac:dyDescent="0.35">
      <c r="A133" s="1">
        <v>39783</v>
      </c>
      <c r="B133" s="6">
        <v>1.7043076822003802</v>
      </c>
      <c r="C133" s="12">
        <f>'Source Data'!D37</f>
        <v>5.6067653491187182</v>
      </c>
    </row>
    <row r="134" spans="1:3" x14ac:dyDescent="0.35">
      <c r="A134" s="1">
        <v>39814</v>
      </c>
      <c r="B134" s="6">
        <v>1.6911447264006205</v>
      </c>
      <c r="C134" s="12">
        <f>'Source Data'!D38</f>
        <v>5.6354943278395009</v>
      </c>
    </row>
    <row r="135" spans="1:3" x14ac:dyDescent="0.35">
      <c r="A135" s="1">
        <v>39845</v>
      </c>
      <c r="B135" s="6">
        <v>1.701273592907192</v>
      </c>
      <c r="C135" s="12">
        <f>'Source Data'!D39</f>
        <v>5.6480798321064745</v>
      </c>
    </row>
    <row r="136" spans="1:3" x14ac:dyDescent="0.35">
      <c r="A136" s="1">
        <v>39873</v>
      </c>
      <c r="B136" s="6">
        <v>1.6878244900783217</v>
      </c>
      <c r="C136" s="12">
        <f>'Source Data'!D40</f>
        <v>5.5797844054635686</v>
      </c>
    </row>
    <row r="137" spans="1:3" x14ac:dyDescent="0.35">
      <c r="A137" s="1">
        <v>39904</v>
      </c>
      <c r="B137" s="6">
        <v>1.701043563920096</v>
      </c>
      <c r="C137" s="12">
        <f>'Source Data'!D41</f>
        <v>5.5029542373792406</v>
      </c>
    </row>
    <row r="138" spans="1:3" x14ac:dyDescent="0.35">
      <c r="A138" s="1">
        <v>39934</v>
      </c>
      <c r="B138" s="6">
        <v>1.6837434955418717</v>
      </c>
      <c r="C138" s="12">
        <f>'Source Data'!D42</f>
        <v>5.4874281646086525</v>
      </c>
    </row>
    <row r="139" spans="1:3" x14ac:dyDescent="0.35">
      <c r="A139" s="1">
        <v>39965</v>
      </c>
      <c r="B139" s="6">
        <v>1.6814641845039975</v>
      </c>
      <c r="C139" s="12">
        <f>'Source Data'!D43</f>
        <v>5.3323286507463203</v>
      </c>
    </row>
    <row r="140" spans="1:3" x14ac:dyDescent="0.35">
      <c r="A140" s="1">
        <v>39995</v>
      </c>
      <c r="B140" s="6">
        <v>1.6913844945807603</v>
      </c>
      <c r="C140" s="12">
        <f>'Source Data'!D44</f>
        <v>5.1450753737398971</v>
      </c>
    </row>
    <row r="141" spans="1:3" x14ac:dyDescent="0.35">
      <c r="A141" s="1">
        <v>40026</v>
      </c>
      <c r="B141" s="6">
        <v>1.714602993439112</v>
      </c>
      <c r="C141" s="12">
        <f>'Source Data'!D45</f>
        <v>5.1111282905722915</v>
      </c>
    </row>
    <row r="142" spans="1:3" x14ac:dyDescent="0.35">
      <c r="A142" s="1">
        <v>40057</v>
      </c>
      <c r="B142" s="6">
        <v>1.6699556258673303</v>
      </c>
      <c r="C142" s="12">
        <f>'Source Data'!D46</f>
        <v>5.0471348450692144</v>
      </c>
    </row>
    <row r="143" spans="1:3" x14ac:dyDescent="0.35">
      <c r="A143" s="1">
        <v>40087</v>
      </c>
      <c r="B143" s="6">
        <v>1.6902125301311743</v>
      </c>
      <c r="C143" s="12">
        <f>'Source Data'!D47</f>
        <v>4.952506935370744</v>
      </c>
    </row>
    <row r="144" spans="1:3" x14ac:dyDescent="0.35">
      <c r="A144" s="1">
        <v>40118</v>
      </c>
      <c r="B144" s="6">
        <v>1.6529622468919869</v>
      </c>
      <c r="C144" s="12">
        <f>'Source Data'!D48</f>
        <v>4.3732316755206657</v>
      </c>
    </row>
    <row r="145" spans="1:3" ht="15" thickBot="1" x14ac:dyDescent="0.4">
      <c r="A145" s="2">
        <v>40148</v>
      </c>
      <c r="B145" s="7">
        <v>1.6259359505986302</v>
      </c>
      <c r="C145" s="12">
        <f>'Source Data'!D49</f>
        <v>4.2632848873020741</v>
      </c>
    </row>
    <row r="146" spans="1:3" x14ac:dyDescent="0.35">
      <c r="A146" s="1">
        <v>40179</v>
      </c>
      <c r="C146" s="12">
        <f>'Source Data'!D50</f>
        <v>4.1274925299214233</v>
      </c>
    </row>
    <row r="147" spans="1:3" x14ac:dyDescent="0.35">
      <c r="A147" s="1">
        <v>40210</v>
      </c>
      <c r="C147" s="12">
        <f>'Source Data'!D51</f>
        <v>4.1940442102885767</v>
      </c>
    </row>
    <row r="148" spans="1:3" x14ac:dyDescent="0.35">
      <c r="A148" s="1">
        <v>40238</v>
      </c>
      <c r="C148" s="12">
        <f>'Source Data'!D52</f>
        <v>3.7492906762022797</v>
      </c>
    </row>
    <row r="149" spans="1:3" x14ac:dyDescent="0.35">
      <c r="A149" s="1">
        <v>40269</v>
      </c>
      <c r="C149" s="12">
        <f>'Source Data'!D53</f>
        <v>3.7807161269850376</v>
      </c>
    </row>
    <row r="150" spans="1:3" x14ac:dyDescent="0.35">
      <c r="A150" s="1">
        <v>40299</v>
      </c>
      <c r="C150" s="12">
        <f>'Source Data'!D54</f>
        <v>3.714429528023949</v>
      </c>
    </row>
    <row r="151" spans="1:3" x14ac:dyDescent="0.35">
      <c r="A151" s="1">
        <v>40330</v>
      </c>
      <c r="C151" s="12">
        <f>'Source Data'!D55</f>
        <v>3.5415177695130842</v>
      </c>
    </row>
    <row r="152" spans="1:3" x14ac:dyDescent="0.35">
      <c r="A152" s="1">
        <v>40360</v>
      </c>
      <c r="C152" s="12">
        <f>'Source Data'!D56</f>
        <v>3.4674639832870264</v>
      </c>
    </row>
    <row r="153" spans="1:3" x14ac:dyDescent="0.35">
      <c r="A153" s="1">
        <v>40391</v>
      </c>
      <c r="C153" s="12">
        <f>'Source Data'!D57</f>
        <v>3.4050742802133391</v>
      </c>
    </row>
    <row r="154" spans="1:3" x14ac:dyDescent="0.35">
      <c r="A154" s="1">
        <v>40422</v>
      </c>
      <c r="C154" s="12">
        <f>'Source Data'!D58</f>
        <v>3.3948691283088488</v>
      </c>
    </row>
    <row r="155" spans="1:3" x14ac:dyDescent="0.35">
      <c r="A155" s="1">
        <v>40452</v>
      </c>
      <c r="C155" s="12">
        <f>'Source Data'!D59</f>
        <v>3.3206179478166802</v>
      </c>
    </row>
    <row r="156" spans="1:3" x14ac:dyDescent="0.35">
      <c r="A156" s="1">
        <v>40483</v>
      </c>
      <c r="C156" s="12">
        <f>'Source Data'!D60</f>
        <v>3.3207576361609341</v>
      </c>
    </row>
    <row r="157" spans="1:3" ht="15" thickBot="1" x14ac:dyDescent="0.4">
      <c r="A157" s="2">
        <v>40513</v>
      </c>
      <c r="C157" s="12">
        <f>'Source Data'!D61</f>
        <v>3.2590814047297334</v>
      </c>
    </row>
    <row r="158" spans="1:3" x14ac:dyDescent="0.35">
      <c r="A158" s="1">
        <v>40544</v>
      </c>
      <c r="C158" s="12">
        <f>'Source Data'!D62</f>
        <v>3.2131402031295559</v>
      </c>
    </row>
    <row r="159" spans="1:3" x14ac:dyDescent="0.35">
      <c r="A159" s="1">
        <v>40575</v>
      </c>
      <c r="C159" s="12">
        <f>'Source Data'!D63</f>
        <v>3.2401944734234913</v>
      </c>
    </row>
    <row r="160" spans="1:3" x14ac:dyDescent="0.35">
      <c r="A160" s="1">
        <v>40603</v>
      </c>
      <c r="C160" s="12">
        <f>'Source Data'!D64</f>
        <v>3.0334972742763027</v>
      </c>
    </row>
    <row r="161" spans="1:3" x14ac:dyDescent="0.35">
      <c r="A161" s="1">
        <v>40634</v>
      </c>
      <c r="C161" s="12">
        <f>'Source Data'!D65</f>
        <v>2.9738940990649323</v>
      </c>
    </row>
    <row r="162" spans="1:3" x14ac:dyDescent="0.35">
      <c r="A162" s="1">
        <v>40664</v>
      </c>
      <c r="C162" s="12">
        <f>'Source Data'!D66</f>
        <v>2.9086366914750355</v>
      </c>
    </row>
    <row r="163" spans="1:3" x14ac:dyDescent="0.35">
      <c r="A163" s="1">
        <v>40695</v>
      </c>
      <c r="C163" s="12">
        <f>'Source Data'!D67</f>
        <v>2.7530585326573984</v>
      </c>
    </row>
    <row r="164" spans="1:3" x14ac:dyDescent="0.35">
      <c r="A164" s="1">
        <v>40725</v>
      </c>
      <c r="C164" s="12">
        <f>'Source Data'!D68</f>
        <v>2.7112628185423655</v>
      </c>
    </row>
    <row r="165" spans="1:3" x14ac:dyDescent="0.35">
      <c r="A165" s="1">
        <v>40756</v>
      </c>
      <c r="C165" s="12">
        <f>'Source Data'!D69</f>
        <v>2.6339245118277446</v>
      </c>
    </row>
    <row r="166" spans="1:3" x14ac:dyDescent="0.35">
      <c r="A166" s="1">
        <v>40787</v>
      </c>
      <c r="C166" s="12">
        <f>'Source Data'!D70</f>
        <v>2.5975624770297601</v>
      </c>
    </row>
    <row r="167" spans="1:3" x14ac:dyDescent="0.35">
      <c r="A167" s="1">
        <v>40817</v>
      </c>
      <c r="C167" s="12">
        <f>'Source Data'!D71</f>
        <v>2.5305809785787914</v>
      </c>
    </row>
    <row r="168" spans="1:3" x14ac:dyDescent="0.35">
      <c r="A168" s="1">
        <v>40848</v>
      </c>
      <c r="C168" s="12">
        <f>'Source Data'!D72</f>
        <v>2.4925195957308026</v>
      </c>
    </row>
    <row r="169" spans="1:3" ht="15" thickBot="1" x14ac:dyDescent="0.4">
      <c r="A169" s="2">
        <v>40878</v>
      </c>
      <c r="C169" s="12">
        <f>'Source Data'!D73</f>
        <v>2.3985499419891947</v>
      </c>
    </row>
    <row r="170" spans="1:3" x14ac:dyDescent="0.35">
      <c r="A170" s="1">
        <v>40909</v>
      </c>
      <c r="C170" s="12">
        <f>'Source Data'!D74</f>
        <v>2.4133491028081813</v>
      </c>
    </row>
    <row r="171" spans="1:3" x14ac:dyDescent="0.35">
      <c r="A171" s="1">
        <v>40940</v>
      </c>
      <c r="C171" s="12">
        <f>'Source Data'!D75</f>
        <v>2.3842200826140343</v>
      </c>
    </row>
    <row r="172" spans="1:3" x14ac:dyDescent="0.35">
      <c r="A172" s="1">
        <v>40969</v>
      </c>
      <c r="C172" s="12">
        <f>'Source Data'!D76</f>
        <v>2.2825362817322286</v>
      </c>
    </row>
    <row r="173" spans="1:3" x14ac:dyDescent="0.35">
      <c r="A173" s="1">
        <v>41000</v>
      </c>
      <c r="C173" s="12">
        <f>'Source Data'!D77</f>
        <v>2.2720034199389048</v>
      </c>
    </row>
    <row r="174" spans="1:3" x14ac:dyDescent="0.35">
      <c r="A174" s="1">
        <v>41030</v>
      </c>
      <c r="C174" s="12">
        <f>'Source Data'!D78</f>
        <v>2.1596410821960386</v>
      </c>
    </row>
    <row r="175" spans="1:3" x14ac:dyDescent="0.35">
      <c r="A175" s="1">
        <v>41061</v>
      </c>
      <c r="C175" s="12">
        <f>'Source Data'!D79</f>
        <v>2.0927418207054576</v>
      </c>
    </row>
    <row r="176" spans="1:3" x14ac:dyDescent="0.35">
      <c r="A176" s="1">
        <v>41091</v>
      </c>
      <c r="C176" s="12">
        <f>'Source Data'!D80</f>
        <v>2.0221483236811517</v>
      </c>
    </row>
    <row r="177" spans="1:3" x14ac:dyDescent="0.35">
      <c r="A177" s="1">
        <v>41122</v>
      </c>
      <c r="C177" s="12">
        <f>'Source Data'!D81</f>
        <v>2.0135603996706863</v>
      </c>
    </row>
    <row r="178" spans="1:3" x14ac:dyDescent="0.35">
      <c r="A178" s="1">
        <v>41153</v>
      </c>
      <c r="C178" s="12">
        <f>'Source Data'!D82</f>
        <v>1.986240877235963</v>
      </c>
    </row>
    <row r="179" spans="1:3" x14ac:dyDescent="0.35">
      <c r="A179" s="1">
        <v>41183</v>
      </c>
      <c r="C179" s="12">
        <f>'Source Data'!D83</f>
        <v>1.9185688147194488</v>
      </c>
    </row>
    <row r="180" spans="1:3" x14ac:dyDescent="0.35">
      <c r="A180" s="1">
        <v>41214</v>
      </c>
      <c r="C180" s="12">
        <f>'Source Data'!D84</f>
        <v>1.9026059924164986</v>
      </c>
    </row>
    <row r="181" spans="1:3" ht="15" thickBot="1" x14ac:dyDescent="0.4">
      <c r="A181" s="2">
        <v>41244</v>
      </c>
      <c r="C181" s="12">
        <f>'Source Data'!D85</f>
        <v>1.8689775209587545</v>
      </c>
    </row>
    <row r="182" spans="1:3" x14ac:dyDescent="0.35">
      <c r="A182" s="1">
        <v>41275</v>
      </c>
      <c r="C182" s="12">
        <f>'Source Data'!D86</f>
        <v>1.8421331540898804</v>
      </c>
    </row>
    <row r="183" spans="1:3" x14ac:dyDescent="0.35">
      <c r="A183" s="1">
        <v>41306</v>
      </c>
      <c r="C183" s="12">
        <f>'Source Data'!D87</f>
        <v>1.805282464619528</v>
      </c>
    </row>
    <row r="184" spans="1:3" x14ac:dyDescent="0.35">
      <c r="A184" s="1">
        <v>41334</v>
      </c>
      <c r="C184" s="12">
        <f>'Source Data'!D88</f>
        <v>1.7724313629310595</v>
      </c>
    </row>
    <row r="185" spans="1:3" x14ac:dyDescent="0.35">
      <c r="A185" s="1">
        <v>41365</v>
      </c>
      <c r="C185" s="12">
        <f>'Source Data'!D89</f>
        <v>1.7178093689654654</v>
      </c>
    </row>
    <row r="186" spans="1:3" x14ac:dyDescent="0.35">
      <c r="A186" s="1">
        <v>41395</v>
      </c>
      <c r="C186" s="12">
        <f>'Source Data'!D90</f>
        <v>1.7308057016503238</v>
      </c>
    </row>
    <row r="187" spans="1:3" x14ac:dyDescent="0.35">
      <c r="A187" s="1">
        <v>41426</v>
      </c>
      <c r="C187" s="12">
        <f>'Source Data'!D91</f>
        <v>1.7102843615309262</v>
      </c>
    </row>
    <row r="188" spans="1:3" x14ac:dyDescent="0.35">
      <c r="A188" s="1">
        <v>41456</v>
      </c>
      <c r="C188" s="12">
        <f>'Source Data'!D92</f>
        <v>1.6621741142692787</v>
      </c>
    </row>
    <row r="189" spans="1:3" x14ac:dyDescent="0.35">
      <c r="A189" s="1">
        <v>41487</v>
      </c>
      <c r="C189" s="12">
        <f>'Source Data'!D93</f>
        <v>1.6643310894720444</v>
      </c>
    </row>
    <row r="190" spans="1:3" x14ac:dyDescent="0.35">
      <c r="A190" s="1">
        <v>41518</v>
      </c>
      <c r="C190" s="12">
        <f>'Source Data'!D94</f>
        <v>1.6430941614078098</v>
      </c>
    </row>
    <row r="191" spans="1:3" x14ac:dyDescent="0.35">
      <c r="A191" s="1">
        <v>41548</v>
      </c>
      <c r="C191" s="12">
        <f>'Source Data'!D95</f>
        <v>1.5862747560809278</v>
      </c>
    </row>
    <row r="192" spans="1:3" x14ac:dyDescent="0.35">
      <c r="A192" s="1">
        <v>41579</v>
      </c>
      <c r="C192" s="12">
        <f>'Source Data'!D96</f>
        <v>1.5726937545996078</v>
      </c>
    </row>
    <row r="193" spans="1:3" ht="15" thickBot="1" x14ac:dyDescent="0.4">
      <c r="A193" s="2">
        <v>41609</v>
      </c>
      <c r="C193" s="12">
        <f>'Source Data'!D97</f>
        <v>1.5355292648676624</v>
      </c>
    </row>
    <row r="194" spans="1:3" x14ac:dyDescent="0.35">
      <c r="A194" s="1">
        <v>41640</v>
      </c>
      <c r="C194" s="12">
        <f>'Source Data'!D98</f>
        <v>1.5066004630649978</v>
      </c>
    </row>
    <row r="195" spans="1:3" x14ac:dyDescent="0.35">
      <c r="A195" s="1">
        <v>41671</v>
      </c>
      <c r="C195" s="12">
        <f>'Source Data'!D99</f>
        <v>1.5126661202914067</v>
      </c>
    </row>
    <row r="196" spans="1:3" x14ac:dyDescent="0.35">
      <c r="A196" s="1">
        <v>41699</v>
      </c>
      <c r="C196" s="12">
        <f>'Source Data'!D100</f>
        <v>1.44657179076281</v>
      </c>
    </row>
    <row r="197" spans="1:3" x14ac:dyDescent="0.35">
      <c r="A197" s="1">
        <v>41730</v>
      </c>
      <c r="C197" s="12">
        <f>'Source Data'!D101</f>
        <v>1.4079688959040497</v>
      </c>
    </row>
    <row r="198" spans="1:3" x14ac:dyDescent="0.35">
      <c r="A198" s="1">
        <v>41760</v>
      </c>
      <c r="C198" s="12">
        <f>'Source Data'!D102</f>
        <v>1.4074370845346507</v>
      </c>
    </row>
    <row r="199" spans="1:3" x14ac:dyDescent="0.35">
      <c r="A199" s="1">
        <v>41791</v>
      </c>
      <c r="C199" s="12">
        <f>'Source Data'!D103</f>
        <v>1.4210228598232379</v>
      </c>
    </row>
    <row r="200" spans="1:3" x14ac:dyDescent="0.35">
      <c r="A200" s="1">
        <v>41821</v>
      </c>
      <c r="C200" s="12">
        <f>'Source Data'!D104</f>
        <v>1.3668024513499775</v>
      </c>
    </row>
    <row r="201" spans="1:3" x14ac:dyDescent="0.35">
      <c r="A201" s="1">
        <v>41852</v>
      </c>
      <c r="C201" s="12">
        <f>'Source Data'!D105</f>
        <v>1.3501723427373138</v>
      </c>
    </row>
    <row r="202" spans="1:3" x14ac:dyDescent="0.35">
      <c r="A202" s="1">
        <v>41883</v>
      </c>
      <c r="C202" s="12">
        <f>'Source Data'!D106</f>
        <v>1.3203328386034707</v>
      </c>
    </row>
    <row r="203" spans="1:3" x14ac:dyDescent="0.35">
      <c r="A203" s="1">
        <v>41913</v>
      </c>
      <c r="C203" s="12">
        <f>'Source Data'!D107</f>
        <v>1.3061972936912902</v>
      </c>
    </row>
    <row r="204" spans="1:3" x14ac:dyDescent="0.35">
      <c r="A204" s="1">
        <v>41944</v>
      </c>
      <c r="C204" s="12">
        <f>'Source Data'!D108</f>
        <v>1.304352318490146</v>
      </c>
    </row>
    <row r="205" spans="1:3" ht="15" thickBot="1" x14ac:dyDescent="0.4">
      <c r="A205" s="2">
        <v>41974</v>
      </c>
      <c r="C205" s="12">
        <f>'Source Data'!D109</f>
        <v>1.2877381480258148</v>
      </c>
    </row>
    <row r="206" spans="1:3" x14ac:dyDescent="0.35">
      <c r="A206" s="1">
        <v>42005</v>
      </c>
      <c r="C206" s="12">
        <f>'Source Data'!D110</f>
        <v>1.2593951772719132</v>
      </c>
    </row>
    <row r="207" spans="1:3" x14ac:dyDescent="0.35">
      <c r="A207" s="1">
        <v>42036</v>
      </c>
      <c r="C207" s="12">
        <f>'Source Data'!D111</f>
        <v>1.3072195404046603</v>
      </c>
    </row>
    <row r="208" spans="1:3" x14ac:dyDescent="0.35">
      <c r="A208" s="1">
        <v>42064</v>
      </c>
      <c r="C208" s="12">
        <f>'Source Data'!D112</f>
        <v>1.2598953969326487</v>
      </c>
    </row>
    <row r="209" spans="1:3" x14ac:dyDescent="0.35">
      <c r="A209" s="1">
        <v>42095</v>
      </c>
      <c r="C209" s="12">
        <f>'Source Data'!D113</f>
        <v>1.2222348374442775</v>
      </c>
    </row>
    <row r="210" spans="1:3" x14ac:dyDescent="0.35">
      <c r="A210" s="1">
        <v>42125</v>
      </c>
      <c r="C210" s="12">
        <f>'Source Data'!D114</f>
        <v>1.2199750932128712</v>
      </c>
    </row>
    <row r="211" spans="1:3" x14ac:dyDescent="0.35">
      <c r="A211" s="1">
        <v>42156</v>
      </c>
      <c r="C211" s="12">
        <f>'Source Data'!D115</f>
        <v>1.2218312321199496</v>
      </c>
    </row>
    <row r="212" spans="1:3" x14ac:dyDescent="0.35">
      <c r="A212" s="1">
        <v>42186</v>
      </c>
      <c r="C212" s="12">
        <f>'Source Data'!D116</f>
        <v>1.2124985026503525</v>
      </c>
    </row>
    <row r="213" spans="1:3" x14ac:dyDescent="0.35">
      <c r="A213" s="1">
        <v>42217</v>
      </c>
      <c r="C213" s="12">
        <f>'Source Data'!D117</f>
        <v>1.2079824061483369</v>
      </c>
    </row>
    <row r="214" spans="1:3" x14ac:dyDescent="0.35">
      <c r="A214" s="1">
        <v>42248</v>
      </c>
      <c r="C214" s="12">
        <f>'Source Data'!D118</f>
        <v>1.2165735204667492</v>
      </c>
    </row>
    <row r="215" spans="1:3" x14ac:dyDescent="0.35">
      <c r="A215" s="1">
        <v>42278</v>
      </c>
      <c r="C215" s="12">
        <f>'Source Data'!D119</f>
        <v>1.1781222886058778</v>
      </c>
    </row>
    <row r="216" spans="1:3" x14ac:dyDescent="0.35">
      <c r="A216" s="1">
        <v>42309</v>
      </c>
      <c r="C216" s="12">
        <f>'Source Data'!D120</f>
        <v>1.1789333574241327</v>
      </c>
    </row>
    <row r="217" spans="1:3" ht="15" thickBot="1" x14ac:dyDescent="0.4">
      <c r="A217" s="2">
        <v>42339</v>
      </c>
      <c r="C217" s="12">
        <f>'Source Data'!D121</f>
        <v>1.1526466025135844</v>
      </c>
    </row>
    <row r="218" spans="1:3" x14ac:dyDescent="0.35">
      <c r="A218" s="1">
        <v>42370</v>
      </c>
      <c r="C218" s="12">
        <f>'Source Data'!D122</f>
        <v>1.1563543423570377</v>
      </c>
    </row>
    <row r="219" spans="1:3" x14ac:dyDescent="0.35">
      <c r="A219" s="1">
        <v>42401</v>
      </c>
      <c r="C219" s="12">
        <f>'Source Data'!D123</f>
        <v>1.1891634209359776</v>
      </c>
    </row>
    <row r="220" spans="1:3" x14ac:dyDescent="0.35">
      <c r="A220" s="1">
        <v>42430</v>
      </c>
      <c r="C220" s="12">
        <f>'Source Data'!D124</f>
        <v>1.1307433959356028</v>
      </c>
    </row>
    <row r="221" spans="1:3" x14ac:dyDescent="0.35">
      <c r="A221" s="1">
        <v>42461</v>
      </c>
      <c r="C221" s="12">
        <f>'Source Data'!D125</f>
        <v>1.1273481559795679</v>
      </c>
    </row>
    <row r="222" spans="1:3" x14ac:dyDescent="0.35">
      <c r="A222" s="1">
        <v>42491</v>
      </c>
      <c r="C222" s="12">
        <f>'Source Data'!D126</f>
        <v>1.1230693696055809</v>
      </c>
    </row>
    <row r="223" spans="1:3" x14ac:dyDescent="0.35">
      <c r="A223" s="1">
        <v>42522</v>
      </c>
      <c r="C223" s="12">
        <f>'Source Data'!D127</f>
        <v>1.1188362311697468</v>
      </c>
    </row>
    <row r="224" spans="1:3" x14ac:dyDescent="0.35">
      <c r="A224" s="1">
        <v>42552</v>
      </c>
      <c r="C224" s="12">
        <f>'Source Data'!D128</f>
        <v>1.1371020426558309</v>
      </c>
    </row>
    <row r="225" spans="1:3" x14ac:dyDescent="0.35">
      <c r="A225" s="1">
        <v>42583</v>
      </c>
      <c r="C225" s="12">
        <f>'Source Data'!D129</f>
        <v>1.128295663558768</v>
      </c>
    </row>
    <row r="226" spans="1:3" x14ac:dyDescent="0.35">
      <c r="A226" s="1">
        <v>42614</v>
      </c>
      <c r="C226" s="12">
        <f>'Source Data'!D130</f>
        <v>1.1401616372629413</v>
      </c>
    </row>
    <row r="227" spans="1:3" x14ac:dyDescent="0.35">
      <c r="A227" s="1">
        <v>42644</v>
      </c>
      <c r="C227" s="12">
        <f>'Source Data'!D131</f>
        <v>1.1495943165920413</v>
      </c>
    </row>
    <row r="228" spans="1:3" x14ac:dyDescent="0.35">
      <c r="A228" s="1">
        <v>42675</v>
      </c>
      <c r="C228" s="12">
        <f>'Source Data'!D132</f>
        <v>1.1415735562416629</v>
      </c>
    </row>
    <row r="229" spans="1:3" ht="15" thickBot="1" x14ac:dyDescent="0.4">
      <c r="A229" s="2">
        <v>42705</v>
      </c>
      <c r="C229" s="12">
        <f>'Source Data'!D133</f>
        <v>1.1421478745626255</v>
      </c>
    </row>
    <row r="230" spans="1:3" x14ac:dyDescent="0.35">
      <c r="A230" s="1">
        <v>42736</v>
      </c>
      <c r="C230" s="12">
        <f>'Source Data'!D134</f>
        <v>1.1378930196707011</v>
      </c>
    </row>
    <row r="231" spans="1:3" x14ac:dyDescent="0.35">
      <c r="A231" s="1">
        <v>42767</v>
      </c>
      <c r="C231" s="12">
        <f>'Source Data'!D135</f>
        <v>1.1566008515410116</v>
      </c>
    </row>
    <row r="232" spans="1:3" x14ac:dyDescent="0.35">
      <c r="A232" s="1">
        <v>42795</v>
      </c>
      <c r="C232" s="12">
        <f>'Source Data'!D136</f>
        <v>1.1442342756226143</v>
      </c>
    </row>
    <row r="233" spans="1:3" x14ac:dyDescent="0.35">
      <c r="A233" s="1">
        <v>42826</v>
      </c>
      <c r="C233" s="12">
        <f>'Source Data'!D137</f>
        <v>1.1239124274860508</v>
      </c>
    </row>
    <row r="234" spans="1:3" x14ac:dyDescent="0.35">
      <c r="A234" s="1">
        <v>42856</v>
      </c>
      <c r="C234" s="12">
        <f>'Source Data'!D138</f>
        <v>1.116033652379059</v>
      </c>
    </row>
    <row r="235" spans="1:3" x14ac:dyDescent="0.35">
      <c r="A235" s="1">
        <v>42887</v>
      </c>
      <c r="C235" s="12">
        <f>'Source Data'!D139</f>
        <v>1.1273892952960529</v>
      </c>
    </row>
    <row r="236" spans="1:3" x14ac:dyDescent="0.35">
      <c r="A236" s="1">
        <v>42917</v>
      </c>
      <c r="C236" s="12">
        <f>'Source Data'!D140</f>
        <v>1.1225919579411643</v>
      </c>
    </row>
    <row r="237" spans="1:3" x14ac:dyDescent="0.35">
      <c r="A237" s="1">
        <v>42948</v>
      </c>
      <c r="C237" s="12">
        <f>'Source Data'!D141</f>
        <v>1.1210257426652108</v>
      </c>
    </row>
    <row r="238" spans="1:3" x14ac:dyDescent="0.35">
      <c r="A238" s="1">
        <v>42979</v>
      </c>
      <c r="C238" s="12">
        <f>'Source Data'!D142</f>
        <v>1.1272312854507034</v>
      </c>
    </row>
    <row r="239" spans="1:3" x14ac:dyDescent="0.35">
      <c r="A239" s="1">
        <v>43009</v>
      </c>
      <c r="C239" s="12">
        <f>'Source Data'!D143</f>
        <v>1.111987619716192</v>
      </c>
    </row>
    <row r="240" spans="1:3" x14ac:dyDescent="0.35">
      <c r="A240" s="1">
        <v>43040</v>
      </c>
      <c r="C240" s="12">
        <f>'Source Data'!D144</f>
        <v>1.0949530253992943</v>
      </c>
    </row>
    <row r="241" spans="1:3" ht="15" thickBot="1" x14ac:dyDescent="0.4">
      <c r="A241" s="2">
        <v>43070</v>
      </c>
      <c r="C241" s="12">
        <f>'Source Data'!D145</f>
        <v>1.0484935899005861</v>
      </c>
    </row>
    <row r="242" spans="1:3" x14ac:dyDescent="0.35">
      <c r="A242" s="1">
        <v>43101</v>
      </c>
      <c r="C242" s="12">
        <f>'Source Data'!D146</f>
        <v>1.0297742253150395</v>
      </c>
    </row>
    <row r="243" spans="1:3" x14ac:dyDescent="0.35">
      <c r="A243" s="1">
        <v>43132</v>
      </c>
      <c r="C243" s="12">
        <f>'Source Data'!D147</f>
        <v>1.0535173902106798</v>
      </c>
    </row>
    <row r="244" spans="1:3" x14ac:dyDescent="0.35">
      <c r="A244" s="1">
        <v>43160</v>
      </c>
      <c r="C244" s="12">
        <f>'Source Data'!D148</f>
        <v>1.0487868534439211</v>
      </c>
    </row>
    <row r="245" spans="1:3" x14ac:dyDescent="0.35">
      <c r="A245" s="1">
        <v>43191</v>
      </c>
      <c r="C245" s="12">
        <f>'Source Data'!D149</f>
        <v>1.0647830389658921</v>
      </c>
    </row>
    <row r="246" spans="1:3" x14ac:dyDescent="0.35">
      <c r="A246" s="1">
        <v>43221</v>
      </c>
      <c r="C246" s="12">
        <f>'Source Data'!D150</f>
        <v>1.0935128369467888</v>
      </c>
    </row>
    <row r="247" spans="1:3" x14ac:dyDescent="0.35">
      <c r="A247" s="1">
        <v>43252</v>
      </c>
      <c r="C247" s="12">
        <f>'Source Data'!D151</f>
        <v>1.1144135121791294</v>
      </c>
    </row>
    <row r="248" spans="1:3" x14ac:dyDescent="0.35">
      <c r="A248" s="1">
        <v>43282</v>
      </c>
      <c r="C248" s="12">
        <f>'Source Data'!D152</f>
        <v>1.0938275056409505</v>
      </c>
    </row>
    <row r="249" spans="1:3" x14ac:dyDescent="0.35">
      <c r="A249" s="1">
        <v>43313</v>
      </c>
      <c r="C249" s="12">
        <f>'Source Data'!D153</f>
        <v>1.0860322765702457</v>
      </c>
    </row>
    <row r="250" spans="1:3" x14ac:dyDescent="0.35">
      <c r="A250" s="1">
        <v>43344</v>
      </c>
      <c r="C250" s="12">
        <f>'Source Data'!D154</f>
        <v>1.0795929013866234</v>
      </c>
    </row>
    <row r="251" spans="1:3" x14ac:dyDescent="0.35">
      <c r="A251" s="1">
        <v>43374</v>
      </c>
      <c r="C251" s="12">
        <f>'Source Data'!D155</f>
        <v>1.0577728171135592</v>
      </c>
    </row>
    <row r="252" spans="1:3" x14ac:dyDescent="0.35">
      <c r="A252" s="1">
        <v>43405</v>
      </c>
      <c r="C252" s="12">
        <f>'Source Data'!D156</f>
        <v>1.0686600522839917</v>
      </c>
    </row>
    <row r="253" spans="1:3" ht="15" thickBot="1" x14ac:dyDescent="0.4">
      <c r="A253" s="2">
        <v>43435</v>
      </c>
      <c r="C253" s="12">
        <f>'Source Data'!D157</f>
        <v>1.0859613487977948</v>
      </c>
    </row>
    <row r="254" spans="1:3" x14ac:dyDescent="0.35">
      <c r="A254" s="1">
        <v>43466</v>
      </c>
      <c r="C254" s="12">
        <f>'Source Data'!D158</f>
        <v>1.0796398603542958</v>
      </c>
    </row>
    <row r="255" spans="1:3" x14ac:dyDescent="0.35">
      <c r="A255" s="1">
        <v>43497</v>
      </c>
      <c r="C255" s="12">
        <f>'Source Data'!D159</f>
        <v>1.0933979752088385</v>
      </c>
    </row>
    <row r="256" spans="1:3" x14ac:dyDescent="0.35">
      <c r="A256" s="1">
        <v>43525</v>
      </c>
      <c r="C256" s="12">
        <f>'Source Data'!D160</f>
        <v>1.075615287286551</v>
      </c>
    </row>
    <row r="257" spans="1:3" x14ac:dyDescent="0.35">
      <c r="A257" s="1">
        <v>43556</v>
      </c>
      <c r="C257" s="12">
        <f>'Source Data'!D161</f>
        <v>1.0654476648373241</v>
      </c>
    </row>
    <row r="258" spans="1:3" x14ac:dyDescent="0.35">
      <c r="A258" s="1">
        <v>43586</v>
      </c>
      <c r="C258" s="12">
        <f>'Source Data'!D162</f>
        <v>1.0788431606810922</v>
      </c>
    </row>
    <row r="259" spans="1:3" x14ac:dyDescent="0.35">
      <c r="A259" s="1">
        <v>43617</v>
      </c>
      <c r="C259" s="12">
        <f>'Source Data'!D163</f>
        <v>1.1054797480700418</v>
      </c>
    </row>
    <row r="260" spans="1:3" x14ac:dyDescent="0.35">
      <c r="A260" s="1">
        <v>43647</v>
      </c>
      <c r="C260" s="12">
        <f>'Source Data'!D164</f>
        <v>1.1062578363777009</v>
      </c>
    </row>
    <row r="261" spans="1:3" x14ac:dyDescent="0.35">
      <c r="A261" s="1">
        <v>43678</v>
      </c>
      <c r="C261" s="12">
        <f>'Source Data'!D165</f>
        <v>1.1074379797622673</v>
      </c>
    </row>
    <row r="262" spans="1:3" x14ac:dyDescent="0.35">
      <c r="A262" s="1">
        <v>43709</v>
      </c>
      <c r="C262" s="12">
        <f>'Source Data'!D166</f>
        <v>1.1379014310136171</v>
      </c>
    </row>
    <row r="263" spans="1:3" x14ac:dyDescent="0.35">
      <c r="A263" s="1">
        <v>43739</v>
      </c>
      <c r="C263" s="12">
        <f>'Source Data'!D167</f>
        <v>1.1313686936673328</v>
      </c>
    </row>
    <row r="264" spans="1:3" x14ac:dyDescent="0.35">
      <c r="A264" s="1">
        <v>43770</v>
      </c>
      <c r="C264" s="12">
        <f>'Source Data'!D168</f>
        <v>1.1369921347447378</v>
      </c>
    </row>
    <row r="265" spans="1:3" ht="15" thickBot="1" x14ac:dyDescent="0.4">
      <c r="A265" s="2">
        <v>43800</v>
      </c>
      <c r="C265" s="12">
        <f>'Source Data'!D169</f>
        <v>1.1471544365310642</v>
      </c>
    </row>
    <row r="266" spans="1:3" x14ac:dyDescent="0.35">
      <c r="A266" s="1">
        <v>43831</v>
      </c>
      <c r="C266" s="12">
        <f>'Source Data'!D170</f>
        <v>1.1735608724413811</v>
      </c>
    </row>
    <row r="267" spans="1:3" x14ac:dyDescent="0.35">
      <c r="A267" s="1">
        <v>43862</v>
      </c>
      <c r="C267" s="12">
        <f>'Source Data'!D171</f>
        <v>1.1751257161568378</v>
      </c>
    </row>
    <row r="268" spans="1:3" x14ac:dyDescent="0.35">
      <c r="A268" s="1">
        <v>43891</v>
      </c>
      <c r="C268" s="12">
        <f>'Source Data'!D172</f>
        <v>1.2036982394314195</v>
      </c>
    </row>
    <row r="269" spans="1:3" x14ac:dyDescent="0.35">
      <c r="A269" s="1">
        <v>43922</v>
      </c>
      <c r="C269" s="12">
        <f>'Source Data'!D173</f>
        <v>1.1656556485845155</v>
      </c>
    </row>
    <row r="270" spans="1:3" x14ac:dyDescent="0.35">
      <c r="A270" s="1">
        <v>43952</v>
      </c>
      <c r="C270" s="12">
        <f>'Source Data'!D174</f>
        <v>1.128090237256397</v>
      </c>
    </row>
    <row r="271" spans="1:3" x14ac:dyDescent="0.35">
      <c r="A271" s="1">
        <v>43983</v>
      </c>
      <c r="C271" s="12">
        <f>'Source Data'!D175</f>
        <v>1.0626139762459064</v>
      </c>
    </row>
    <row r="272" spans="1:3" x14ac:dyDescent="0.35">
      <c r="A272" s="1">
        <v>44013</v>
      </c>
      <c r="C272" s="12">
        <f>'Source Data'!D176</f>
        <v>1.0024696631145544</v>
      </c>
    </row>
    <row r="273" spans="1:3" x14ac:dyDescent="0.35">
      <c r="A273" s="1">
        <v>44044</v>
      </c>
      <c r="C273" s="12">
        <f>'Source Data'!D177</f>
        <v>0.94939404997454457</v>
      </c>
    </row>
    <row r="274" spans="1:3" x14ac:dyDescent="0.35">
      <c r="A274" s="1">
        <v>44075</v>
      </c>
      <c r="C274" s="12">
        <f>'Source Data'!D178</f>
        <v>0.91110660860330084</v>
      </c>
    </row>
    <row r="275" spans="1:3" x14ac:dyDescent="0.35">
      <c r="A275" s="1">
        <v>44105</v>
      </c>
      <c r="C275" s="12">
        <f>'Source Data'!D179</f>
        <v>0.97517358068786653</v>
      </c>
    </row>
    <row r="276" spans="1:3" x14ac:dyDescent="0.35">
      <c r="A276" s="1">
        <v>44136</v>
      </c>
      <c r="C276" s="12">
        <f>'Source Data'!D180</f>
        <v>1.1700394127271931</v>
      </c>
    </row>
    <row r="277" spans="1:3" ht="15" thickBot="1" x14ac:dyDescent="0.4">
      <c r="A277" s="2">
        <v>44166</v>
      </c>
      <c r="C277" s="12">
        <f>'Source Data'!D181</f>
        <v>1.18458197921812</v>
      </c>
    </row>
    <row r="278" spans="1:3" x14ac:dyDescent="0.35">
      <c r="A278" s="1">
        <v>44197</v>
      </c>
      <c r="C278" s="12">
        <f>'Source Data'!D182</f>
        <v>1.2305873438196593</v>
      </c>
    </row>
    <row r="279" spans="1:3" x14ac:dyDescent="0.35">
      <c r="A279" s="1">
        <v>44228</v>
      </c>
      <c r="C279" s="12">
        <f>'Source Data'!D183</f>
        <v>1.2126213427252386</v>
      </c>
    </row>
    <row r="280" spans="1:3" x14ac:dyDescent="0.35">
      <c r="A280" s="1">
        <v>44256</v>
      </c>
      <c r="C280" s="12">
        <f>'Source Data'!D184</f>
        <v>1.2522381494388917</v>
      </c>
    </row>
    <row r="281" spans="1:3" x14ac:dyDescent="0.35">
      <c r="A281" s="1">
        <v>44287</v>
      </c>
      <c r="C281" s="12">
        <f>'Source Data'!D185</f>
        <v>1.2189676421340934</v>
      </c>
    </row>
    <row r="282" spans="1:3" x14ac:dyDescent="0.35">
      <c r="A282" s="1">
        <v>44317</v>
      </c>
      <c r="C282" s="12">
        <f>'Source Data'!D186</f>
        <v>1.2403451265144914</v>
      </c>
    </row>
    <row r="283" spans="1:3" x14ac:dyDescent="0.35">
      <c r="A283" s="1">
        <v>44348</v>
      </c>
      <c r="C283" s="12">
        <f>'Source Data'!D187</f>
        <v>1.2307657887871364</v>
      </c>
    </row>
    <row r="284" spans="1:3" x14ac:dyDescent="0.35">
      <c r="A284" s="1">
        <v>44378</v>
      </c>
      <c r="C284" s="12">
        <f>'Source Data'!D188</f>
        <v>1.2737651299050998</v>
      </c>
    </row>
    <row r="285" spans="1:3" x14ac:dyDescent="0.35">
      <c r="A285" s="1">
        <v>44409</v>
      </c>
      <c r="C285" s="12">
        <f>'Source Data'!D189</f>
        <v>1.2654308911929382</v>
      </c>
    </row>
    <row r="286" spans="1:3" x14ac:dyDescent="0.35">
      <c r="A286" s="1">
        <v>44440</v>
      </c>
      <c r="C286" s="12">
        <f>'Source Data'!D190</f>
        <v>1.3758352758834711</v>
      </c>
    </row>
    <row r="287" spans="1:3" x14ac:dyDescent="0.35">
      <c r="A287" s="1">
        <v>44470</v>
      </c>
      <c r="C287" s="12">
        <f>'Source Data'!D191</f>
        <v>1.3426447480597523</v>
      </c>
    </row>
    <row r="288" spans="1:3" x14ac:dyDescent="0.35">
      <c r="A288" s="1">
        <v>44501</v>
      </c>
      <c r="C288" s="12">
        <f>'Source Data'!D192</f>
        <v>1.300217384318723</v>
      </c>
    </row>
    <row r="289" spans="1:3" ht="15" thickBot="1" x14ac:dyDescent="0.4">
      <c r="A289" s="2">
        <v>44531</v>
      </c>
      <c r="C289" s="12">
        <f>'Source Data'!D193</f>
        <v>1.2470221625073628</v>
      </c>
    </row>
    <row r="290" spans="1:3" x14ac:dyDescent="0.35">
      <c r="A290" s="1">
        <v>44562</v>
      </c>
      <c r="C290" s="12">
        <f>'Source Data'!D194</f>
        <v>1.268204700259727</v>
      </c>
    </row>
    <row r="291" spans="1:3" x14ac:dyDescent="0.35">
      <c r="A291" s="1">
        <v>44593</v>
      </c>
      <c r="C291" s="12">
        <f>'Source Data'!D195</f>
        <v>1.2906951668303606</v>
      </c>
    </row>
    <row r="292" spans="1:3" x14ac:dyDescent="0.35">
      <c r="A292" s="1">
        <v>44621</v>
      </c>
      <c r="C292" s="12">
        <f>'Source Data'!D196</f>
        <v>1.3009942765818934</v>
      </c>
    </row>
    <row r="293" spans="1:3" x14ac:dyDescent="0.35">
      <c r="A293" s="1">
        <v>44652</v>
      </c>
      <c r="C293" s="12">
        <f>'Source Data'!D197</f>
        <v>1.3244297708622415</v>
      </c>
    </row>
    <row r="294" spans="1:3" x14ac:dyDescent="0.35">
      <c r="A294" s="1">
        <v>44682</v>
      </c>
      <c r="C294" s="12">
        <f>'Source Data'!D198</f>
        <v>1.385154402470318</v>
      </c>
    </row>
    <row r="295" spans="1:3" x14ac:dyDescent="0.35">
      <c r="A295" s="1">
        <v>44713</v>
      </c>
      <c r="C295" s="12">
        <f>'Source Data'!D199</f>
        <v>1.4059841801716202</v>
      </c>
    </row>
    <row r="296" spans="1:3" x14ac:dyDescent="0.35">
      <c r="A296" s="1">
        <v>44743</v>
      </c>
      <c r="C296" s="12">
        <f>'Source Data'!D200</f>
        <v>1.4081570646360642</v>
      </c>
    </row>
    <row r="297" spans="1:3" x14ac:dyDescent="0.35">
      <c r="A297" s="1">
        <v>44774</v>
      </c>
      <c r="C297" s="12">
        <f>'Source Data'!D201</f>
        <v>1.3540101139613405</v>
      </c>
    </row>
    <row r="298" spans="1:3" x14ac:dyDescent="0.35">
      <c r="A298" s="1">
        <v>44805</v>
      </c>
      <c r="C298" s="12">
        <f>'Source Data'!D202</f>
        <v>1.337489455693063</v>
      </c>
    </row>
    <row r="299" spans="1:3" x14ac:dyDescent="0.35">
      <c r="A299" s="1">
        <v>44835</v>
      </c>
      <c r="C299" s="12">
        <f>'Source Data'!D203</f>
        <v>1.3460735425440598</v>
      </c>
    </row>
    <row r="300" spans="1:3" x14ac:dyDescent="0.35">
      <c r="A300" s="1">
        <v>44866</v>
      </c>
      <c r="C300" s="12">
        <f>'Source Data'!D204</f>
        <v>1.3761440070001085</v>
      </c>
    </row>
    <row r="301" spans="1:3" ht="15" thickBot="1" x14ac:dyDescent="0.4">
      <c r="A301" s="2">
        <v>44896</v>
      </c>
      <c r="C301" s="12">
        <f>'Source Data'!D205</f>
        <v>1.3824959224189575</v>
      </c>
    </row>
    <row r="302" spans="1:3" x14ac:dyDescent="0.35">
      <c r="A302" s="1">
        <v>44927</v>
      </c>
      <c r="C302" s="12">
        <f>'Source Data'!D206</f>
        <v>1.3660770535876758</v>
      </c>
    </row>
    <row r="303" spans="1:3" x14ac:dyDescent="0.35">
      <c r="A303" s="1">
        <v>44958</v>
      </c>
      <c r="C303" s="12">
        <f>'Source Data'!D207</f>
        <v>1.3809282829778091</v>
      </c>
    </row>
    <row r="304" spans="1:3" x14ac:dyDescent="0.35">
      <c r="A304" s="1">
        <v>44986</v>
      </c>
      <c r="C304" s="12">
        <f>'Source Data'!D208</f>
        <v>1.3498477324259333</v>
      </c>
    </row>
    <row r="305" spans="1:3" x14ac:dyDescent="0.35">
      <c r="A305" s="1">
        <v>45017</v>
      </c>
      <c r="C305" s="12">
        <f>'Source Data'!D209</f>
        <v>1.3922601986756218</v>
      </c>
    </row>
    <row r="306" spans="1:3" x14ac:dyDescent="0.35">
      <c r="A306" s="1">
        <v>45047</v>
      </c>
      <c r="C306" s="12">
        <f>'Source Data'!D210</f>
        <v>1.4207248906546988</v>
      </c>
    </row>
    <row r="307" spans="1:3" x14ac:dyDescent="0.35">
      <c r="A307" s="1">
        <v>45078</v>
      </c>
      <c r="C307" s="12">
        <f>'Source Data'!D211</f>
        <v>1.4277238126577694</v>
      </c>
    </row>
    <row r="308" spans="1:3" x14ac:dyDescent="0.35">
      <c r="A308" s="1">
        <v>45108</v>
      </c>
      <c r="C308" s="12">
        <f>'Source Data'!D212</f>
        <v>1.4907579552642745</v>
      </c>
    </row>
    <row r="309" spans="1:3" x14ac:dyDescent="0.35">
      <c r="A309" s="1">
        <v>45139</v>
      </c>
      <c r="C309" s="12">
        <f>'Source Data'!D213</f>
        <v>1.4782864043544846</v>
      </c>
    </row>
    <row r="310" spans="1:3" x14ac:dyDescent="0.35">
      <c r="A310" s="1">
        <v>45170</v>
      </c>
      <c r="C310" s="12">
        <f>'Source Data'!D214</f>
        <v>1.3734708293821527</v>
      </c>
    </row>
    <row r="311" spans="1:3" x14ac:dyDescent="0.35">
      <c r="A311" s="1">
        <v>45200</v>
      </c>
      <c r="C311" s="12">
        <f>'Source Data'!D215</f>
        <v>1.3606483134671026</v>
      </c>
    </row>
    <row r="312" spans="1:3" x14ac:dyDescent="0.35">
      <c r="A312" s="1">
        <v>45231</v>
      </c>
      <c r="C312" s="12">
        <f>'Source Data'!D216</f>
        <v>1.348952569851924</v>
      </c>
    </row>
    <row r="313" spans="1:3" ht="15" thickBot="1" x14ac:dyDescent="0.4">
      <c r="A313" s="2">
        <v>45261</v>
      </c>
      <c r="C313" s="12">
        <f>'Source Data'!D217</f>
        <v>1.3390010249036433</v>
      </c>
    </row>
    <row r="314" spans="1:3" x14ac:dyDescent="0.35">
      <c r="A314" s="1">
        <v>45292</v>
      </c>
      <c r="C314" s="12">
        <f>'Source Data'!D218</f>
        <v>1.3371133763129677</v>
      </c>
    </row>
    <row r="315" spans="1:3" x14ac:dyDescent="0.35">
      <c r="A315" s="1">
        <v>45323</v>
      </c>
      <c r="C315" s="12">
        <f>'Source Data'!D219</f>
        <v>1.3529389713848776</v>
      </c>
    </row>
    <row r="316" spans="1:3" x14ac:dyDescent="0.35">
      <c r="A316" s="1">
        <v>45352</v>
      </c>
      <c r="C316" s="12">
        <f>'Source Data'!D220</f>
        <v>1.3211744697467829</v>
      </c>
    </row>
    <row r="317" spans="1:3" x14ac:dyDescent="0.35">
      <c r="A317" s="1">
        <v>45383</v>
      </c>
      <c r="C317" s="12">
        <f>'Source Data'!D221</f>
        <v>1.3185844205702064</v>
      </c>
    </row>
    <row r="318" spans="1:3" x14ac:dyDescent="0.35">
      <c r="A318" s="1">
        <v>45413</v>
      </c>
      <c r="C318" s="12">
        <f>'Source Data'!D222</f>
        <v>1.2937505035639685</v>
      </c>
    </row>
    <row r="319" spans="1:3" x14ac:dyDescent="0.35">
      <c r="A319" s="1">
        <v>45444</v>
      </c>
      <c r="C319" s="12">
        <f>'Source Data'!D223</f>
        <v>1.2668042588634203</v>
      </c>
    </row>
    <row r="320" spans="1:3" x14ac:dyDescent="0.35">
      <c r="A320" s="1">
        <v>45474</v>
      </c>
      <c r="C320" s="12">
        <f>'Source Data'!D224</f>
        <v>1.2502743272862717</v>
      </c>
    </row>
    <row r="321" spans="1:3" x14ac:dyDescent="0.35">
      <c r="A321" s="1">
        <v>45505</v>
      </c>
      <c r="C321" s="12">
        <f>'Source Data'!D225</f>
        <v>1.2226306669563389</v>
      </c>
    </row>
    <row r="322" spans="1:3" x14ac:dyDescent="0.35">
      <c r="A322" s="1">
        <v>45536</v>
      </c>
      <c r="C322" s="12">
        <f>'Source Data'!D226</f>
        <v>1.209165960253034</v>
      </c>
    </row>
    <row r="323" spans="1:3" x14ac:dyDescent="0.35">
      <c r="A323" s="1">
        <v>45566</v>
      </c>
      <c r="C323" s="12">
        <f>'Source Data'!D227</f>
        <v>1.1957246688001557</v>
      </c>
    </row>
    <row r="324" spans="1:3" x14ac:dyDescent="0.35">
      <c r="A324" s="1">
        <v>45597</v>
      </c>
      <c r="C324" s="12">
        <f>'Source Data'!D228</f>
        <v>1.1863413495017401</v>
      </c>
    </row>
    <row r="325" spans="1:3" ht="15" thickBot="1" x14ac:dyDescent="0.4">
      <c r="A325" s="2">
        <v>45627</v>
      </c>
      <c r="C325" s="12">
        <f>'Source Data'!D229</f>
        <v>1.1642195398914748</v>
      </c>
    </row>
    <row r="326" spans="1:3" x14ac:dyDescent="0.35">
      <c r="A326" s="1">
        <v>45658</v>
      </c>
      <c r="C326" s="12">
        <f>'Source Data'!D230</f>
        <v>1.1730852187934233</v>
      </c>
    </row>
    <row r="327" spans="1:3" x14ac:dyDescent="0.35">
      <c r="A327" s="1">
        <v>45689</v>
      </c>
      <c r="C327" s="12">
        <f>'Source Data'!D231</f>
        <v>1.1600495518628788</v>
      </c>
    </row>
    <row r="328" spans="1:3" x14ac:dyDescent="0.35">
      <c r="A328" s="1">
        <v>45717</v>
      </c>
      <c r="C328" s="12">
        <f>'Source Data'!D232</f>
        <v>1.1323241355232614</v>
      </c>
    </row>
    <row r="329" spans="1:3" x14ac:dyDescent="0.35">
      <c r="A329" s="1">
        <v>45748</v>
      </c>
      <c r="C329" s="12">
        <f>'Source Data'!D233</f>
        <v>1.1384206829074444</v>
      </c>
    </row>
    <row r="330" spans="1:3" x14ac:dyDescent="0.35">
      <c r="A330" s="1">
        <v>45778</v>
      </c>
      <c r="C330" s="12">
        <f>'Source Data'!D234</f>
        <v>1.1630801130425035</v>
      </c>
    </row>
    <row r="331" spans="1:3" x14ac:dyDescent="0.35">
      <c r="A331" s="1">
        <v>45809</v>
      </c>
      <c r="C331" s="12">
        <f>'Source Data'!D235</f>
        <v>1.1462566007530366</v>
      </c>
    </row>
    <row r="332" spans="1:3" x14ac:dyDescent="0.35">
      <c r="A332" s="1">
        <v>45839</v>
      </c>
      <c r="C332" s="12">
        <f>'Source Data'!D236</f>
        <v>1.1242598564017756</v>
      </c>
    </row>
    <row r="333" spans="1:3" x14ac:dyDescent="0.35">
      <c r="A333" s="1">
        <v>45870</v>
      </c>
      <c r="C333" s="12">
        <f>'Source Data'!D237</f>
        <v>1.1240636725748285</v>
      </c>
    </row>
    <row r="334" spans="1:3" x14ac:dyDescent="0.35">
      <c r="A334" s="1">
        <v>45901</v>
      </c>
      <c r="C334" s="12">
        <f>'Source Data'!D238</f>
        <v>1.1349806477893953</v>
      </c>
    </row>
    <row r="335" spans="1:3" x14ac:dyDescent="0.35">
      <c r="A335" s="1">
        <v>45931</v>
      </c>
      <c r="C335" s="12">
        <f>'Source Data'!D239</f>
        <v>1.122043991917226</v>
      </c>
    </row>
    <row r="336" spans="1:3" x14ac:dyDescent="0.35">
      <c r="A336" s="1">
        <v>45962</v>
      </c>
    </row>
    <row r="337" spans="1:1" ht="15" thickBot="1" x14ac:dyDescent="0.4">
      <c r="A337" s="2">
        <v>45992</v>
      </c>
    </row>
    <row r="338" spans="1:1" x14ac:dyDescent="0.35">
      <c r="A338" s="1">
        <v>46023</v>
      </c>
    </row>
  </sheetData>
  <protectedRanges>
    <protectedRange sqref="A2:A338" name="Range1_1"/>
    <protectedRange sqref="B2:B145" name="Range1_3"/>
  </protectedRange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0DCB-879C-4F04-B54C-EDFAB960A924}">
  <dimension ref="A1:F242"/>
  <sheetViews>
    <sheetView zoomScale="85" zoomScaleNormal="85" workbookViewId="0">
      <selection activeCell="L28" sqref="L28"/>
    </sheetView>
  </sheetViews>
  <sheetFormatPr defaultRowHeight="14.5" x14ac:dyDescent="0.35"/>
  <sheetData>
    <row r="1" spans="1:6" ht="53" customHeight="1" x14ac:dyDescent="0.35">
      <c r="A1" s="8" t="s">
        <v>2</v>
      </c>
      <c r="B1" s="9" t="s">
        <v>3</v>
      </c>
      <c r="C1" s="14" t="s">
        <v>119</v>
      </c>
      <c r="D1" t="s">
        <v>120</v>
      </c>
      <c r="E1" t="s">
        <v>121</v>
      </c>
      <c r="F1" t="s">
        <v>122</v>
      </c>
    </row>
    <row r="2" spans="1:6" x14ac:dyDescent="0.35">
      <c r="A2" s="10">
        <v>38718</v>
      </c>
      <c r="B2" s="8">
        <v>149801.11747614999</v>
      </c>
      <c r="C2" s="15"/>
    </row>
    <row r="3" spans="1:6" x14ac:dyDescent="0.35">
      <c r="A3" s="10">
        <v>38749</v>
      </c>
      <c r="B3" s="8">
        <v>150489.03908091999</v>
      </c>
    </row>
    <row r="4" spans="1:6" x14ac:dyDescent="0.35">
      <c r="A4" s="10">
        <v>38777</v>
      </c>
      <c r="B4" s="8">
        <v>152167.74033207999</v>
      </c>
    </row>
    <row r="5" spans="1:6" x14ac:dyDescent="0.35">
      <c r="A5" s="10">
        <v>38808</v>
      </c>
      <c r="B5" s="8">
        <v>152023.433185292</v>
      </c>
    </row>
    <row r="6" spans="1:6" x14ac:dyDescent="0.35">
      <c r="A6" s="10">
        <v>38838</v>
      </c>
      <c r="B6" s="8">
        <v>154154.43124105499</v>
      </c>
    </row>
    <row r="7" spans="1:6" x14ac:dyDescent="0.35">
      <c r="A7" s="10">
        <v>38869</v>
      </c>
      <c r="B7" s="8">
        <v>155516.82700500599</v>
      </c>
    </row>
    <row r="8" spans="1:6" x14ac:dyDescent="0.35">
      <c r="A8" s="10">
        <v>38899</v>
      </c>
      <c r="B8" s="8">
        <v>156667.530893891</v>
      </c>
    </row>
    <row r="9" spans="1:6" x14ac:dyDescent="0.35">
      <c r="A9" s="10">
        <v>38930</v>
      </c>
      <c r="B9" s="8">
        <v>157886.867284112</v>
      </c>
    </row>
    <row r="10" spans="1:6" x14ac:dyDescent="0.35">
      <c r="A10" s="10">
        <v>38961</v>
      </c>
      <c r="B10" s="8">
        <v>158889.70109595099</v>
      </c>
    </row>
    <row r="11" spans="1:6" x14ac:dyDescent="0.35">
      <c r="A11" s="10">
        <v>38991</v>
      </c>
      <c r="B11" s="8">
        <v>160073.783910775</v>
      </c>
    </row>
    <row r="12" spans="1:6" x14ac:dyDescent="0.35">
      <c r="A12" s="10">
        <v>39022</v>
      </c>
      <c r="B12" s="8">
        <v>161110.867697796</v>
      </c>
    </row>
    <row r="13" spans="1:6" x14ac:dyDescent="0.35">
      <c r="A13" s="10">
        <v>39052</v>
      </c>
      <c r="B13" s="8">
        <v>161832.33466468699</v>
      </c>
    </row>
    <row r="14" spans="1:6" x14ac:dyDescent="0.35">
      <c r="A14" s="10">
        <v>39083</v>
      </c>
      <c r="B14" s="8">
        <v>163174.18303474999</v>
      </c>
    </row>
    <row r="15" spans="1:6" x14ac:dyDescent="0.35">
      <c r="A15" s="10">
        <v>39114</v>
      </c>
      <c r="B15" s="8">
        <v>163741.9546582</v>
      </c>
    </row>
    <row r="16" spans="1:6" x14ac:dyDescent="0.35">
      <c r="A16" s="10">
        <v>39142</v>
      </c>
      <c r="B16" s="8">
        <v>164396.68769218601</v>
      </c>
    </row>
    <row r="17" spans="1:2" x14ac:dyDescent="0.35">
      <c r="A17" s="10">
        <v>39173</v>
      </c>
      <c r="B17" s="8">
        <v>165651.04743769701</v>
      </c>
    </row>
    <row r="18" spans="1:2" x14ac:dyDescent="0.35">
      <c r="A18" s="10">
        <v>39203</v>
      </c>
      <c r="B18" s="8">
        <v>166269.559174528</v>
      </c>
    </row>
    <row r="19" spans="1:2" x14ac:dyDescent="0.35">
      <c r="A19" s="10">
        <v>39234</v>
      </c>
      <c r="B19" s="8">
        <v>166982.97342072299</v>
      </c>
    </row>
    <row r="20" spans="1:2" x14ac:dyDescent="0.35">
      <c r="A20" s="10">
        <v>39264</v>
      </c>
      <c r="B20" s="8">
        <v>167958.56651290701</v>
      </c>
    </row>
    <row r="21" spans="1:2" x14ac:dyDescent="0.35">
      <c r="A21" s="10">
        <v>39295</v>
      </c>
      <c r="B21" s="8">
        <v>169580.56983331699</v>
      </c>
    </row>
    <row r="22" spans="1:2" x14ac:dyDescent="0.35">
      <c r="A22" s="10">
        <v>39326</v>
      </c>
      <c r="B22" s="8">
        <v>170458.901407489</v>
      </c>
    </row>
    <row r="23" spans="1:2" x14ac:dyDescent="0.35">
      <c r="A23" s="10">
        <v>39356</v>
      </c>
      <c r="B23" s="8">
        <v>171642.92342825799</v>
      </c>
    </row>
    <row r="24" spans="1:2" x14ac:dyDescent="0.35">
      <c r="A24" s="10">
        <v>39387</v>
      </c>
      <c r="B24" s="8">
        <v>172958.11111374601</v>
      </c>
    </row>
    <row r="25" spans="1:2" x14ac:dyDescent="0.35">
      <c r="A25" s="10">
        <v>39417</v>
      </c>
      <c r="B25" s="8">
        <v>173769.08785835499</v>
      </c>
    </row>
    <row r="26" spans="1:2" x14ac:dyDescent="0.35">
      <c r="A26" s="10">
        <v>39448</v>
      </c>
      <c r="B26" s="8">
        <v>175184.494044814</v>
      </c>
    </row>
    <row r="27" spans="1:2" x14ac:dyDescent="0.35">
      <c r="A27" s="10">
        <v>39479</v>
      </c>
      <c r="B27" s="8">
        <v>175851.999810045</v>
      </c>
    </row>
    <row r="28" spans="1:2" x14ac:dyDescent="0.35">
      <c r="A28" s="10">
        <v>39508</v>
      </c>
      <c r="B28" s="8">
        <v>177134.226154987</v>
      </c>
    </row>
    <row r="29" spans="1:2" x14ac:dyDescent="0.35">
      <c r="A29" s="10">
        <v>39539</v>
      </c>
      <c r="B29" s="8">
        <v>178607.26410874201</v>
      </c>
    </row>
    <row r="30" spans="1:2" x14ac:dyDescent="0.35">
      <c r="A30" s="10">
        <v>39569</v>
      </c>
      <c r="B30" s="8">
        <v>179763.59792574801</v>
      </c>
    </row>
    <row r="31" spans="1:2" x14ac:dyDescent="0.35">
      <c r="A31" s="10">
        <v>39600</v>
      </c>
      <c r="B31" s="8">
        <v>181131.26682648101</v>
      </c>
    </row>
    <row r="32" spans="1:2" x14ac:dyDescent="0.35">
      <c r="A32" s="10">
        <v>39630</v>
      </c>
      <c r="B32" s="8">
        <v>183004.085487759</v>
      </c>
    </row>
    <row r="33" spans="1:6" x14ac:dyDescent="0.35">
      <c r="A33" s="10">
        <v>39661</v>
      </c>
      <c r="B33" s="8">
        <v>185028.229520967</v>
      </c>
    </row>
    <row r="34" spans="1:6" x14ac:dyDescent="0.35">
      <c r="A34" s="10">
        <v>39692</v>
      </c>
      <c r="B34" s="8">
        <v>186796.55615821001</v>
      </c>
    </row>
    <row r="35" spans="1:6" x14ac:dyDescent="0.35">
      <c r="A35" s="10">
        <v>39722</v>
      </c>
      <c r="B35" s="8">
        <v>188298.11051014601</v>
      </c>
    </row>
    <row r="36" spans="1:6" x14ac:dyDescent="0.35">
      <c r="A36" s="10">
        <v>39753</v>
      </c>
      <c r="B36" s="8">
        <v>189887.899957897</v>
      </c>
      <c r="F36" s="16">
        <f>AVERAGE(F37:F49)</f>
        <v>3.0889479747982467</v>
      </c>
    </row>
    <row r="37" spans="1:6" x14ac:dyDescent="0.35">
      <c r="A37" s="10">
        <v>39783</v>
      </c>
      <c r="B37" s="8">
        <v>191527.54451705201</v>
      </c>
      <c r="C37" s="11">
        <v>10738.5</v>
      </c>
      <c r="D37" s="12">
        <f>C37/B37*100</f>
        <v>5.6067653491187182</v>
      </c>
      <c r="E37" s="12">
        <v>1.7043076822003802</v>
      </c>
      <c r="F37" s="12">
        <f>D37/E37</f>
        <v>3.2897612371728515</v>
      </c>
    </row>
    <row r="38" spans="1:6" x14ac:dyDescent="0.35">
      <c r="A38" s="10">
        <v>39814</v>
      </c>
      <c r="B38" s="8">
        <v>192909.43025698699</v>
      </c>
      <c r="C38" s="11">
        <v>10871.4</v>
      </c>
      <c r="D38" s="12">
        <f t="shared" ref="D38:D101" si="0">C38/B38*100</f>
        <v>5.6354943278395009</v>
      </c>
      <c r="E38" s="12">
        <v>1.6911447264006205</v>
      </c>
      <c r="F38" s="12">
        <f t="shared" ref="F38:F49" si="1">D38/E38</f>
        <v>3.3323548480879639</v>
      </c>
    </row>
    <row r="39" spans="1:6" x14ac:dyDescent="0.35">
      <c r="A39" s="10">
        <v>39845</v>
      </c>
      <c r="B39" s="8">
        <v>193919.001246042</v>
      </c>
      <c r="C39" s="11">
        <v>10952.7</v>
      </c>
      <c r="D39" s="12">
        <f t="shared" si="0"/>
        <v>5.6480798321064745</v>
      </c>
      <c r="E39" s="12">
        <v>1.701273592907192</v>
      </c>
      <c r="F39" s="12">
        <f t="shared" si="1"/>
        <v>3.3199127146003899</v>
      </c>
    </row>
    <row r="40" spans="1:6" x14ac:dyDescent="0.35">
      <c r="A40" s="10">
        <v>39873</v>
      </c>
      <c r="B40" s="8">
        <v>195002.15795696201</v>
      </c>
      <c r="C40" s="11">
        <v>10880.7</v>
      </c>
      <c r="D40" s="12">
        <f t="shared" si="0"/>
        <v>5.5797844054635686</v>
      </c>
      <c r="E40" s="12">
        <v>1.6878244900783217</v>
      </c>
      <c r="F40" s="12">
        <f t="shared" si="1"/>
        <v>3.3059032134346178</v>
      </c>
    </row>
    <row r="41" spans="1:6" x14ac:dyDescent="0.35">
      <c r="A41" s="10">
        <v>39904</v>
      </c>
      <c r="B41" s="8">
        <v>196507.17657339599</v>
      </c>
      <c r="C41" s="11">
        <v>10813.7</v>
      </c>
      <c r="D41" s="12">
        <f t="shared" si="0"/>
        <v>5.5029542373792406</v>
      </c>
      <c r="E41" s="12">
        <v>1.701043563920096</v>
      </c>
      <c r="F41" s="12">
        <f t="shared" si="1"/>
        <v>3.2350460353276018</v>
      </c>
    </row>
    <row r="42" spans="1:6" x14ac:dyDescent="0.35">
      <c r="A42" s="10">
        <v>39934</v>
      </c>
      <c r="B42" s="8">
        <v>197956.12214223301</v>
      </c>
      <c r="C42" s="11">
        <v>10862.7</v>
      </c>
      <c r="D42" s="12">
        <f t="shared" si="0"/>
        <v>5.4874281646086525</v>
      </c>
      <c r="E42" s="12">
        <v>1.6837434955418717</v>
      </c>
      <c r="F42" s="12">
        <f t="shared" si="1"/>
        <v>3.2590642096839444</v>
      </c>
    </row>
    <row r="43" spans="1:6" x14ac:dyDescent="0.35">
      <c r="A43" s="10">
        <v>39965</v>
      </c>
      <c r="B43" s="8">
        <v>199203.77560586599</v>
      </c>
      <c r="C43" s="11">
        <v>10622.2</v>
      </c>
      <c r="D43" s="12">
        <f t="shared" si="0"/>
        <v>5.3323286507463203</v>
      </c>
      <c r="E43" s="12">
        <v>1.6814641845039975</v>
      </c>
      <c r="F43" s="12">
        <f t="shared" si="1"/>
        <v>3.17124129070835</v>
      </c>
    </row>
    <row r="44" spans="1:6" x14ac:dyDescent="0.35">
      <c r="A44" s="10">
        <v>39995</v>
      </c>
      <c r="B44" s="8">
        <v>200877.52363649799</v>
      </c>
      <c r="C44" s="11">
        <v>10335.299999999999</v>
      </c>
      <c r="D44" s="12">
        <f t="shared" si="0"/>
        <v>5.1450753737398971</v>
      </c>
      <c r="E44" s="12">
        <v>1.6913844945807603</v>
      </c>
      <c r="F44" s="12">
        <f t="shared" si="1"/>
        <v>3.0419312641358909</v>
      </c>
    </row>
    <row r="45" spans="1:6" x14ac:dyDescent="0.35">
      <c r="A45" s="10">
        <v>40026</v>
      </c>
      <c r="B45" s="8">
        <v>202667.57966351401</v>
      </c>
      <c r="C45" s="11">
        <v>10358.6</v>
      </c>
      <c r="D45" s="12">
        <f t="shared" si="0"/>
        <v>5.1111282905722915</v>
      </c>
      <c r="E45" s="12">
        <v>1.714602993439112</v>
      </c>
      <c r="F45" s="12">
        <f t="shared" si="1"/>
        <v>2.9809397919692802</v>
      </c>
    </row>
    <row r="46" spans="1:6" x14ac:dyDescent="0.35">
      <c r="A46" s="10">
        <v>40057</v>
      </c>
      <c r="B46" s="8">
        <v>204351.583950172</v>
      </c>
      <c r="C46" s="11">
        <v>10313.9</v>
      </c>
      <c r="D46" s="12">
        <f t="shared" si="0"/>
        <v>5.0471348450692144</v>
      </c>
      <c r="E46" s="12">
        <v>1.6699556258673303</v>
      </c>
      <c r="F46" s="12">
        <f t="shared" si="1"/>
        <v>3.022316741169615</v>
      </c>
    </row>
    <row r="47" spans="1:6" x14ac:dyDescent="0.35">
      <c r="A47" s="10">
        <v>40087</v>
      </c>
      <c r="B47" s="8">
        <v>206541.86119245199</v>
      </c>
      <c r="C47" s="11">
        <v>10229</v>
      </c>
      <c r="D47" s="12">
        <f t="shared" si="0"/>
        <v>4.952506935370744</v>
      </c>
      <c r="E47" s="12">
        <v>1.6902125301311743</v>
      </c>
      <c r="F47" s="12">
        <f t="shared" si="1"/>
        <v>2.9301089934449775</v>
      </c>
    </row>
    <row r="48" spans="1:6" x14ac:dyDescent="0.35">
      <c r="A48" s="10">
        <v>40118</v>
      </c>
      <c r="B48" s="8">
        <v>207439.27313020601</v>
      </c>
      <c r="C48" s="11">
        <v>9071.7999999999993</v>
      </c>
      <c r="D48" s="12">
        <f t="shared" si="0"/>
        <v>4.3732316755206657</v>
      </c>
      <c r="E48" s="12">
        <v>1.6529622468919869</v>
      </c>
      <c r="F48" s="12">
        <f t="shared" si="1"/>
        <v>2.645693622914568</v>
      </c>
    </row>
    <row r="49" spans="1:6" x14ac:dyDescent="0.35">
      <c r="A49" s="10">
        <v>40148</v>
      </c>
      <c r="B49" s="8">
        <v>209364.380658326</v>
      </c>
      <c r="C49" s="11">
        <v>8925.7999999999993</v>
      </c>
      <c r="D49" s="12">
        <f t="shared" si="0"/>
        <v>4.2632848873020741</v>
      </c>
      <c r="E49" s="12">
        <v>1.6259359505986302</v>
      </c>
      <c r="F49" s="12">
        <f t="shared" si="1"/>
        <v>2.6220497097271487</v>
      </c>
    </row>
    <row r="50" spans="1:6" x14ac:dyDescent="0.35">
      <c r="A50" s="10">
        <v>40179</v>
      </c>
      <c r="B50" s="8">
        <v>211610.31635268099</v>
      </c>
      <c r="C50" s="11">
        <v>8734.2000000000007</v>
      </c>
      <c r="D50" s="12">
        <f t="shared" si="0"/>
        <v>4.1274925299214233</v>
      </c>
    </row>
    <row r="51" spans="1:6" x14ac:dyDescent="0.35">
      <c r="A51" s="10">
        <v>40210</v>
      </c>
      <c r="B51" s="8">
        <v>213276.244872596</v>
      </c>
      <c r="C51" s="11">
        <v>8944.9</v>
      </c>
      <c r="D51" s="12">
        <f t="shared" si="0"/>
        <v>4.1940442102885767</v>
      </c>
    </row>
    <row r="52" spans="1:6" x14ac:dyDescent="0.35">
      <c r="A52" s="10">
        <v>40238</v>
      </c>
      <c r="B52" s="8">
        <v>215171.36697898299</v>
      </c>
      <c r="C52" s="11">
        <v>8067.4</v>
      </c>
      <c r="D52" s="12">
        <f t="shared" si="0"/>
        <v>3.7492906762022797</v>
      </c>
    </row>
    <row r="53" spans="1:6" x14ac:dyDescent="0.35">
      <c r="A53" s="10">
        <v>40269</v>
      </c>
      <c r="B53" s="8">
        <v>217527.572125823</v>
      </c>
      <c r="C53" s="11">
        <v>8224.1</v>
      </c>
      <c r="D53" s="12">
        <f t="shared" si="0"/>
        <v>3.7807161269850376</v>
      </c>
    </row>
    <row r="54" spans="1:6" x14ac:dyDescent="0.35">
      <c r="A54" s="10">
        <v>40299</v>
      </c>
      <c r="B54" s="8">
        <v>219691.87834723099</v>
      </c>
      <c r="C54" s="11">
        <v>8160.3</v>
      </c>
      <c r="D54" s="12">
        <f t="shared" si="0"/>
        <v>3.714429528023949</v>
      </c>
    </row>
    <row r="55" spans="1:6" x14ac:dyDescent="0.35">
      <c r="A55" s="10">
        <v>40330</v>
      </c>
      <c r="B55" s="8">
        <v>221746.73434095801</v>
      </c>
      <c r="C55" s="11">
        <v>7853.2</v>
      </c>
      <c r="D55" s="12">
        <f t="shared" si="0"/>
        <v>3.5415177695130842</v>
      </c>
    </row>
    <row r="56" spans="1:6" x14ac:dyDescent="0.35">
      <c r="A56" s="10">
        <v>40360</v>
      </c>
      <c r="B56" s="8">
        <v>224907.887654747</v>
      </c>
      <c r="C56" s="11">
        <v>7798.6</v>
      </c>
      <c r="D56" s="12">
        <f t="shared" si="0"/>
        <v>3.4674639832870264</v>
      </c>
    </row>
    <row r="57" spans="1:6" x14ac:dyDescent="0.35">
      <c r="A57" s="10">
        <v>40391</v>
      </c>
      <c r="B57" s="8">
        <v>227557.44404831401</v>
      </c>
      <c r="C57" s="11">
        <v>7748.5</v>
      </c>
      <c r="D57" s="12">
        <f t="shared" si="0"/>
        <v>3.4050742802133391</v>
      </c>
    </row>
    <row r="58" spans="1:6" x14ac:dyDescent="0.35">
      <c r="A58" s="10">
        <v>40422</v>
      </c>
      <c r="B58" s="8">
        <v>229617.09878587199</v>
      </c>
      <c r="C58" s="11">
        <v>7795.2</v>
      </c>
      <c r="D58" s="12">
        <f t="shared" si="0"/>
        <v>3.3948691283088488</v>
      </c>
    </row>
    <row r="59" spans="1:6" x14ac:dyDescent="0.35">
      <c r="A59" s="10">
        <v>40452</v>
      </c>
      <c r="B59" s="8">
        <v>232038.13630731401</v>
      </c>
      <c r="C59" s="11">
        <v>7705.1</v>
      </c>
      <c r="D59" s="12">
        <f t="shared" si="0"/>
        <v>3.3206179478166802</v>
      </c>
    </row>
    <row r="60" spans="1:6" x14ac:dyDescent="0.35">
      <c r="A60" s="10">
        <v>40483</v>
      </c>
      <c r="B60" s="8">
        <v>234389.28259149799</v>
      </c>
      <c r="C60" s="11">
        <v>7783.5</v>
      </c>
      <c r="D60" s="12">
        <f t="shared" si="0"/>
        <v>3.3207576361609341</v>
      </c>
    </row>
    <row r="61" spans="1:6" x14ac:dyDescent="0.35">
      <c r="A61" s="10">
        <v>40513</v>
      </c>
      <c r="B61" s="8">
        <v>237005.43315028201</v>
      </c>
      <c r="C61" s="11">
        <v>7724.2</v>
      </c>
      <c r="D61" s="12">
        <f t="shared" si="0"/>
        <v>3.2590814047297334</v>
      </c>
    </row>
    <row r="62" spans="1:6" x14ac:dyDescent="0.35">
      <c r="A62" s="10">
        <v>40544</v>
      </c>
      <c r="B62" s="8">
        <v>239575.60247456201</v>
      </c>
      <c r="C62" s="11">
        <v>7697.9</v>
      </c>
      <c r="D62" s="12">
        <f t="shared" si="0"/>
        <v>3.2131402031295559</v>
      </c>
    </row>
    <row r="63" spans="1:6" x14ac:dyDescent="0.35">
      <c r="A63" s="10">
        <v>40575</v>
      </c>
      <c r="B63" s="8">
        <v>240957.75929618301</v>
      </c>
      <c r="C63" s="11">
        <v>7807.5</v>
      </c>
      <c r="D63" s="12">
        <f t="shared" si="0"/>
        <v>3.2401944734234913</v>
      </c>
    </row>
    <row r="64" spans="1:6" x14ac:dyDescent="0.35">
      <c r="A64" s="10">
        <v>40603</v>
      </c>
      <c r="B64" s="8">
        <v>243596.72456811101</v>
      </c>
      <c r="C64" s="11">
        <v>7389.5</v>
      </c>
      <c r="D64" s="12">
        <f t="shared" si="0"/>
        <v>3.0334972742763027</v>
      </c>
    </row>
    <row r="65" spans="1:4" x14ac:dyDescent="0.35">
      <c r="A65" s="10">
        <v>40634</v>
      </c>
      <c r="B65" s="8">
        <v>245990.60209642901</v>
      </c>
      <c r="C65" s="11">
        <v>7315.5</v>
      </c>
      <c r="D65" s="12">
        <f t="shared" si="0"/>
        <v>2.9738940990649323</v>
      </c>
    </row>
    <row r="66" spans="1:4" x14ac:dyDescent="0.35">
      <c r="A66" s="10">
        <v>40664</v>
      </c>
      <c r="B66" s="8">
        <v>248343.15063036801</v>
      </c>
      <c r="C66" s="11">
        <v>7223.4</v>
      </c>
      <c r="D66" s="12">
        <f t="shared" si="0"/>
        <v>2.9086366914750355</v>
      </c>
    </row>
    <row r="67" spans="1:4" x14ac:dyDescent="0.35">
      <c r="A67" s="10">
        <v>40695</v>
      </c>
      <c r="B67" s="8">
        <v>250902.765708091</v>
      </c>
      <c r="C67" s="11">
        <v>6907.5</v>
      </c>
      <c r="D67" s="12">
        <f t="shared" si="0"/>
        <v>2.7530585326573984</v>
      </c>
    </row>
    <row r="68" spans="1:4" x14ac:dyDescent="0.35">
      <c r="A68" s="10">
        <v>40725</v>
      </c>
      <c r="B68" s="8">
        <v>253796.86369539899</v>
      </c>
      <c r="C68" s="11">
        <v>6881.1</v>
      </c>
      <c r="D68" s="12">
        <f t="shared" si="0"/>
        <v>2.7112628185423655</v>
      </c>
    </row>
    <row r="69" spans="1:4" x14ac:dyDescent="0.35">
      <c r="A69" s="10">
        <v>40756</v>
      </c>
      <c r="B69" s="8">
        <v>256700.599035322</v>
      </c>
      <c r="C69" s="11">
        <v>6761.3</v>
      </c>
      <c r="D69" s="12">
        <f t="shared" si="0"/>
        <v>2.6339245118277446</v>
      </c>
    </row>
    <row r="70" spans="1:4" x14ac:dyDescent="0.35">
      <c r="A70" s="10">
        <v>40787</v>
      </c>
      <c r="B70" s="8">
        <v>259624.16918308201</v>
      </c>
      <c r="C70" s="11">
        <v>6743.9</v>
      </c>
      <c r="D70" s="12">
        <f t="shared" si="0"/>
        <v>2.5975624770297601</v>
      </c>
    </row>
    <row r="71" spans="1:4" x14ac:dyDescent="0.35">
      <c r="A71" s="10">
        <v>40817</v>
      </c>
      <c r="B71" s="8">
        <v>262461.46858063102</v>
      </c>
      <c r="C71" s="11">
        <v>6641.8</v>
      </c>
      <c r="D71" s="12">
        <f t="shared" si="0"/>
        <v>2.5305809785787914</v>
      </c>
    </row>
    <row r="72" spans="1:4" x14ac:dyDescent="0.35">
      <c r="A72" s="10">
        <v>40848</v>
      </c>
      <c r="B72" s="8">
        <v>265434.22211532103</v>
      </c>
      <c r="C72" s="11">
        <v>6616</v>
      </c>
      <c r="D72" s="12">
        <f t="shared" si="0"/>
        <v>2.4925195957308026</v>
      </c>
    </row>
    <row r="73" spans="1:4" x14ac:dyDescent="0.35">
      <c r="A73" s="10">
        <v>40878</v>
      </c>
      <c r="B73" s="8">
        <v>268262.08149177599</v>
      </c>
      <c r="C73" s="11">
        <v>6434.4</v>
      </c>
      <c r="D73" s="12">
        <f t="shared" si="0"/>
        <v>2.3985499419891947</v>
      </c>
    </row>
    <row r="74" spans="1:4" x14ac:dyDescent="0.35">
      <c r="A74" s="10">
        <v>40909</v>
      </c>
      <c r="B74" s="8">
        <v>270644.64036304603</v>
      </c>
      <c r="C74" s="11">
        <v>6531.6</v>
      </c>
      <c r="D74" s="12">
        <f t="shared" si="0"/>
        <v>2.4133491028081813</v>
      </c>
    </row>
    <row r="75" spans="1:4" x14ac:dyDescent="0.35">
      <c r="A75" s="10">
        <v>40940</v>
      </c>
      <c r="B75" s="8">
        <v>273628.26307742798</v>
      </c>
      <c r="C75" s="11">
        <v>6523.9</v>
      </c>
      <c r="D75" s="12">
        <f t="shared" si="0"/>
        <v>2.3842200826140343</v>
      </c>
    </row>
    <row r="76" spans="1:4" x14ac:dyDescent="0.35">
      <c r="A76" s="10">
        <v>40969</v>
      </c>
      <c r="B76" s="8">
        <v>277454.51630647702</v>
      </c>
      <c r="C76" s="11">
        <v>6333</v>
      </c>
      <c r="D76" s="12">
        <f t="shared" si="0"/>
        <v>2.2825362817322286</v>
      </c>
    </row>
    <row r="77" spans="1:4" x14ac:dyDescent="0.35">
      <c r="A77" s="10">
        <v>41000</v>
      </c>
      <c r="B77" s="8">
        <v>279761.902830715</v>
      </c>
      <c r="C77" s="11">
        <v>6356.2</v>
      </c>
      <c r="D77" s="12">
        <f t="shared" si="0"/>
        <v>2.2720034199389048</v>
      </c>
    </row>
    <row r="78" spans="1:4" x14ac:dyDescent="0.35">
      <c r="A78" s="10">
        <v>41030</v>
      </c>
      <c r="B78" s="8">
        <v>282472.86321284401</v>
      </c>
      <c r="C78" s="11">
        <v>6100.4</v>
      </c>
      <c r="D78" s="12">
        <f t="shared" si="0"/>
        <v>2.1596410821960386</v>
      </c>
    </row>
    <row r="79" spans="1:4" x14ac:dyDescent="0.35">
      <c r="A79" s="10">
        <v>41061</v>
      </c>
      <c r="B79" s="8">
        <v>285137.89617815701</v>
      </c>
      <c r="C79" s="11">
        <v>5967.2</v>
      </c>
      <c r="D79" s="12">
        <f t="shared" si="0"/>
        <v>2.0927418207054576</v>
      </c>
    </row>
    <row r="80" spans="1:4" x14ac:dyDescent="0.35">
      <c r="A80" s="10">
        <v>41091</v>
      </c>
      <c r="B80" s="8">
        <v>288401.19845331198</v>
      </c>
      <c r="C80" s="11">
        <v>5831.9</v>
      </c>
      <c r="D80" s="12">
        <f t="shared" si="0"/>
        <v>2.0221483236811517</v>
      </c>
    </row>
    <row r="81" spans="1:4" x14ac:dyDescent="0.35">
      <c r="A81" s="10">
        <v>41122</v>
      </c>
      <c r="B81" s="8">
        <v>290987.04965384997</v>
      </c>
      <c r="C81" s="11">
        <v>5859.2</v>
      </c>
      <c r="D81" s="12">
        <f t="shared" si="0"/>
        <v>2.0135603996706863</v>
      </c>
    </row>
    <row r="82" spans="1:4" x14ac:dyDescent="0.35">
      <c r="A82" s="10">
        <v>41153</v>
      </c>
      <c r="B82" s="8">
        <v>293836.46600415098</v>
      </c>
      <c r="C82" s="11">
        <v>5836.3</v>
      </c>
      <c r="D82" s="12">
        <f t="shared" si="0"/>
        <v>1.986240877235963</v>
      </c>
    </row>
    <row r="83" spans="1:4" x14ac:dyDescent="0.35">
      <c r="A83" s="10">
        <v>41183</v>
      </c>
      <c r="B83" s="8">
        <v>297007.85065837001</v>
      </c>
      <c r="C83" s="11">
        <v>5698.3</v>
      </c>
      <c r="D83" s="12">
        <f t="shared" si="0"/>
        <v>1.9185688147194488</v>
      </c>
    </row>
    <row r="84" spans="1:4" x14ac:dyDescent="0.35">
      <c r="A84" s="10">
        <v>41214</v>
      </c>
      <c r="B84" s="8">
        <v>299752.02552350302</v>
      </c>
      <c r="C84" s="11">
        <v>5703.1</v>
      </c>
      <c r="D84" s="12">
        <f t="shared" si="0"/>
        <v>1.9026059924164986</v>
      </c>
    </row>
    <row r="85" spans="1:4" x14ac:dyDescent="0.35">
      <c r="A85" s="10">
        <v>41244</v>
      </c>
      <c r="B85" s="8">
        <v>302892.88857235701</v>
      </c>
      <c r="C85" s="11">
        <v>5661</v>
      </c>
      <c r="D85" s="12">
        <f t="shared" si="0"/>
        <v>1.8689775209587545</v>
      </c>
    </row>
    <row r="86" spans="1:4" x14ac:dyDescent="0.35">
      <c r="A86" s="10">
        <v>41275</v>
      </c>
      <c r="B86" s="8">
        <v>306302.50519473001</v>
      </c>
      <c r="C86" s="11">
        <v>5642.5</v>
      </c>
      <c r="D86" s="12">
        <f t="shared" si="0"/>
        <v>1.8421331540898804</v>
      </c>
    </row>
    <row r="87" spans="1:4" x14ac:dyDescent="0.35">
      <c r="A87" s="10">
        <v>41306</v>
      </c>
      <c r="B87" s="8">
        <v>308766.085598398</v>
      </c>
      <c r="C87" s="11">
        <v>5574.1</v>
      </c>
      <c r="D87" s="12">
        <f t="shared" si="0"/>
        <v>1.805282464619528</v>
      </c>
    </row>
    <row r="88" spans="1:4" x14ac:dyDescent="0.35">
      <c r="A88" s="10">
        <v>41334</v>
      </c>
      <c r="B88" s="8">
        <v>311825.89721613802</v>
      </c>
      <c r="C88" s="11">
        <v>5526.9</v>
      </c>
      <c r="D88" s="12">
        <f t="shared" si="0"/>
        <v>1.7724313629310595</v>
      </c>
    </row>
    <row r="89" spans="1:4" x14ac:dyDescent="0.35">
      <c r="A89" s="10">
        <v>41365</v>
      </c>
      <c r="B89" s="8">
        <v>315209.59763195098</v>
      </c>
      <c r="C89" s="11">
        <v>5414.7</v>
      </c>
      <c r="D89" s="12">
        <f t="shared" si="0"/>
        <v>1.7178093689654654</v>
      </c>
    </row>
    <row r="90" spans="1:4" x14ac:dyDescent="0.35">
      <c r="A90" s="10">
        <v>41395</v>
      </c>
      <c r="B90" s="8">
        <v>318319.95900791697</v>
      </c>
      <c r="C90" s="11">
        <v>5509.5</v>
      </c>
      <c r="D90" s="12">
        <f t="shared" si="0"/>
        <v>1.7308057016503238</v>
      </c>
    </row>
    <row r="91" spans="1:4" x14ac:dyDescent="0.35">
      <c r="A91" s="10">
        <v>41426</v>
      </c>
      <c r="B91" s="8">
        <v>321630.72549386299</v>
      </c>
      <c r="C91" s="11">
        <v>5500.8</v>
      </c>
      <c r="D91" s="12">
        <f t="shared" si="0"/>
        <v>1.7102843615309262</v>
      </c>
    </row>
    <row r="92" spans="1:4" x14ac:dyDescent="0.35">
      <c r="A92" s="10">
        <v>41456</v>
      </c>
      <c r="B92" s="8">
        <v>325068.231638016</v>
      </c>
      <c r="C92" s="11">
        <v>5403.2</v>
      </c>
      <c r="D92" s="12">
        <f t="shared" si="0"/>
        <v>1.6621741142692787</v>
      </c>
    </row>
    <row r="93" spans="1:4" x14ac:dyDescent="0.35">
      <c r="A93" s="10">
        <v>41487</v>
      </c>
      <c r="B93" s="8">
        <v>328474.306259231</v>
      </c>
      <c r="C93" s="11">
        <v>5466.9</v>
      </c>
      <c r="D93" s="12">
        <f t="shared" si="0"/>
        <v>1.6643310894720444</v>
      </c>
    </row>
    <row r="94" spans="1:4" x14ac:dyDescent="0.35">
      <c r="A94" s="10">
        <v>41518</v>
      </c>
      <c r="B94" s="8">
        <v>331593.89936190803</v>
      </c>
      <c r="C94" s="11">
        <v>5448.4</v>
      </c>
      <c r="D94" s="12">
        <f t="shared" si="0"/>
        <v>1.6430941614078098</v>
      </c>
    </row>
    <row r="95" spans="1:4" x14ac:dyDescent="0.35">
      <c r="A95" s="10">
        <v>41548</v>
      </c>
      <c r="B95" s="8">
        <v>335439.99736502999</v>
      </c>
      <c r="C95" s="11">
        <v>5321</v>
      </c>
      <c r="D95" s="12">
        <f t="shared" si="0"/>
        <v>1.5862747560809278</v>
      </c>
    </row>
    <row r="96" spans="1:4" x14ac:dyDescent="0.35">
      <c r="A96" s="10">
        <v>41579</v>
      </c>
      <c r="B96" s="8">
        <v>339576.601253792</v>
      </c>
      <c r="C96" s="11">
        <v>5340.5</v>
      </c>
      <c r="D96" s="12">
        <f t="shared" si="0"/>
        <v>1.5726937545996078</v>
      </c>
    </row>
    <row r="97" spans="1:4" x14ac:dyDescent="0.35">
      <c r="A97" s="10">
        <v>41609</v>
      </c>
      <c r="B97" s="8">
        <v>343412.53668353002</v>
      </c>
      <c r="C97" s="11">
        <v>5273.2</v>
      </c>
      <c r="D97" s="12">
        <f t="shared" si="0"/>
        <v>1.5355292648676624</v>
      </c>
    </row>
    <row r="98" spans="1:4" x14ac:dyDescent="0.35">
      <c r="A98" s="10">
        <v>41640</v>
      </c>
      <c r="B98" s="8">
        <v>347955.55480815202</v>
      </c>
      <c r="C98" s="11">
        <v>5242.3</v>
      </c>
      <c r="D98" s="12">
        <f t="shared" si="0"/>
        <v>1.5066004630649978</v>
      </c>
    </row>
    <row r="99" spans="1:4" x14ac:dyDescent="0.35">
      <c r="A99" s="10">
        <v>41671</v>
      </c>
      <c r="B99" s="8">
        <v>351168.042223136</v>
      </c>
      <c r="C99" s="11">
        <v>5312</v>
      </c>
      <c r="D99" s="12">
        <f t="shared" si="0"/>
        <v>1.5126661202914067</v>
      </c>
    </row>
    <row r="100" spans="1:4" x14ac:dyDescent="0.35">
      <c r="A100" s="10">
        <v>41699</v>
      </c>
      <c r="B100" s="8">
        <v>354956.458627771</v>
      </c>
      <c r="C100" s="11">
        <v>5134.7</v>
      </c>
      <c r="D100" s="12">
        <f t="shared" si="0"/>
        <v>1.44657179076281</v>
      </c>
    </row>
    <row r="101" spans="1:4" x14ac:dyDescent="0.35">
      <c r="A101" s="10">
        <v>41730</v>
      </c>
      <c r="B101" s="8">
        <v>358750.822883535</v>
      </c>
      <c r="C101" s="11">
        <v>5051.1000000000004</v>
      </c>
      <c r="D101" s="12">
        <f t="shared" si="0"/>
        <v>1.4079688959040497</v>
      </c>
    </row>
    <row r="102" spans="1:4" x14ac:dyDescent="0.35">
      <c r="A102" s="10">
        <v>41760</v>
      </c>
      <c r="B102" s="8">
        <v>362581.038689006</v>
      </c>
      <c r="C102" s="11">
        <v>5103.1000000000004</v>
      </c>
      <c r="D102" s="12">
        <f t="shared" ref="D102:D165" si="2">C102/B102*100</f>
        <v>1.4074370845346507</v>
      </c>
    </row>
    <row r="103" spans="1:4" x14ac:dyDescent="0.35">
      <c r="A103" s="10">
        <v>41791</v>
      </c>
      <c r="B103" s="8">
        <v>366292.48882368201</v>
      </c>
      <c r="C103" s="11">
        <v>5205.1000000000004</v>
      </c>
      <c r="D103" s="12">
        <f t="shared" si="2"/>
        <v>1.4210228598232379</v>
      </c>
    </row>
    <row r="104" spans="1:4" x14ac:dyDescent="0.35">
      <c r="A104" s="10">
        <v>41821</v>
      </c>
      <c r="B104" s="8">
        <v>369929.09948369203</v>
      </c>
      <c r="C104" s="11">
        <v>5056.2</v>
      </c>
      <c r="D104" s="12">
        <f t="shared" si="2"/>
        <v>1.3668024513499775</v>
      </c>
    </row>
    <row r="105" spans="1:4" x14ac:dyDescent="0.35">
      <c r="A105" s="10">
        <v>41852</v>
      </c>
      <c r="B105" s="8">
        <v>373937.44784937298</v>
      </c>
      <c r="C105" s="11">
        <v>5048.8</v>
      </c>
      <c r="D105" s="12">
        <f t="shared" si="2"/>
        <v>1.3501723427373138</v>
      </c>
    </row>
    <row r="106" spans="1:4" x14ac:dyDescent="0.35">
      <c r="A106" s="10">
        <v>41883</v>
      </c>
      <c r="B106" s="8">
        <v>377503.297219506</v>
      </c>
      <c r="C106" s="11">
        <v>4984.3</v>
      </c>
      <c r="D106" s="12">
        <f t="shared" si="2"/>
        <v>1.3203328386034707</v>
      </c>
    </row>
    <row r="107" spans="1:4" x14ac:dyDescent="0.35">
      <c r="A107" s="10">
        <v>41913</v>
      </c>
      <c r="B107" s="8">
        <v>381489.07703813497</v>
      </c>
      <c r="C107" s="11">
        <v>4983</v>
      </c>
      <c r="D107" s="12">
        <f t="shared" si="2"/>
        <v>1.3061972936912902</v>
      </c>
    </row>
    <row r="108" spans="1:4" x14ac:dyDescent="0.35">
      <c r="A108" s="10">
        <v>41944</v>
      </c>
      <c r="B108" s="8">
        <v>384420.67598761898</v>
      </c>
      <c r="C108" s="11">
        <v>5014.2</v>
      </c>
      <c r="D108" s="12">
        <f t="shared" si="2"/>
        <v>1.304352318490146</v>
      </c>
    </row>
    <row r="109" spans="1:4" x14ac:dyDescent="0.35">
      <c r="A109" s="10">
        <v>41974</v>
      </c>
      <c r="B109" s="8">
        <v>389062.016038028</v>
      </c>
      <c r="C109" s="11">
        <v>5010.1000000000004</v>
      </c>
      <c r="D109" s="12">
        <f t="shared" si="2"/>
        <v>1.2877381480258148</v>
      </c>
    </row>
    <row r="110" spans="1:4" x14ac:dyDescent="0.35">
      <c r="A110" s="10">
        <v>42005</v>
      </c>
      <c r="B110" s="8">
        <v>392887.00554803602</v>
      </c>
      <c r="C110" s="11">
        <v>4948</v>
      </c>
      <c r="D110" s="12">
        <f t="shared" si="2"/>
        <v>1.2593951772719132</v>
      </c>
    </row>
    <row r="111" spans="1:4" x14ac:dyDescent="0.35">
      <c r="A111" s="10">
        <v>42036</v>
      </c>
      <c r="B111" s="8">
        <v>396972.34011615301</v>
      </c>
      <c r="C111" s="11">
        <v>5189.3</v>
      </c>
      <c r="D111" s="12">
        <f t="shared" si="2"/>
        <v>1.3072195404046603</v>
      </c>
    </row>
    <row r="112" spans="1:4" x14ac:dyDescent="0.35">
      <c r="A112" s="10">
        <v>42064</v>
      </c>
      <c r="B112" s="8">
        <v>401493.64878347999</v>
      </c>
      <c r="C112" s="11">
        <v>5058.3999999999996</v>
      </c>
      <c r="D112" s="12">
        <f t="shared" si="2"/>
        <v>1.2598953969326487</v>
      </c>
    </row>
    <row r="113" spans="1:4" x14ac:dyDescent="0.35">
      <c r="A113" s="10">
        <v>42095</v>
      </c>
      <c r="B113" s="8">
        <v>405233.09009556897</v>
      </c>
      <c r="C113" s="11">
        <v>4952.8999999999996</v>
      </c>
      <c r="D113" s="12">
        <f t="shared" si="2"/>
        <v>1.2222348374442775</v>
      </c>
    </row>
    <row r="114" spans="1:4" x14ac:dyDescent="0.35">
      <c r="A114" s="10">
        <v>42125</v>
      </c>
      <c r="B114" s="8">
        <v>409008.35006877797</v>
      </c>
      <c r="C114" s="11">
        <v>4989.8</v>
      </c>
      <c r="D114" s="12">
        <f t="shared" si="2"/>
        <v>1.2199750932128712</v>
      </c>
    </row>
    <row r="115" spans="1:4" x14ac:dyDescent="0.35">
      <c r="A115" s="10">
        <v>42156</v>
      </c>
      <c r="B115" s="8">
        <v>413739.62844515999</v>
      </c>
      <c r="C115" s="11">
        <v>5055.2</v>
      </c>
      <c r="D115" s="12">
        <f t="shared" si="2"/>
        <v>1.2218312321199496</v>
      </c>
    </row>
    <row r="116" spans="1:4" x14ac:dyDescent="0.35">
      <c r="A116" s="10">
        <v>42186</v>
      </c>
      <c r="B116" s="8">
        <v>417237.62866030203</v>
      </c>
      <c r="C116" s="11">
        <v>5059</v>
      </c>
      <c r="D116" s="12">
        <f t="shared" si="2"/>
        <v>1.2124985026503525</v>
      </c>
    </row>
    <row r="117" spans="1:4" x14ac:dyDescent="0.35">
      <c r="A117" s="10">
        <v>42217</v>
      </c>
      <c r="B117" s="8">
        <v>420353.80433980102</v>
      </c>
      <c r="C117" s="11">
        <v>5077.8</v>
      </c>
      <c r="D117" s="12">
        <f t="shared" si="2"/>
        <v>1.2079824061483369</v>
      </c>
    </row>
    <row r="118" spans="1:4" x14ac:dyDescent="0.35">
      <c r="A118" s="10">
        <v>42248</v>
      </c>
      <c r="B118" s="8">
        <v>424010.54381168302</v>
      </c>
      <c r="C118" s="11">
        <v>5158.3999999999996</v>
      </c>
      <c r="D118" s="12">
        <f t="shared" si="2"/>
        <v>1.2165735204667492</v>
      </c>
    </row>
    <row r="119" spans="1:4" x14ac:dyDescent="0.35">
      <c r="A119" s="10">
        <v>42278</v>
      </c>
      <c r="B119" s="8">
        <v>428232.28528933797</v>
      </c>
      <c r="C119" s="11">
        <v>5045.1000000000004</v>
      </c>
      <c r="D119" s="12">
        <f t="shared" si="2"/>
        <v>1.1781222886058778</v>
      </c>
    </row>
    <row r="120" spans="1:4" x14ac:dyDescent="0.35">
      <c r="A120" s="10">
        <v>42309</v>
      </c>
      <c r="B120" s="8">
        <v>432077.00994479703</v>
      </c>
      <c r="C120" s="11">
        <v>5093.8999999999996</v>
      </c>
      <c r="D120" s="12">
        <f t="shared" si="2"/>
        <v>1.1789333574241327</v>
      </c>
    </row>
    <row r="121" spans="1:4" x14ac:dyDescent="0.35">
      <c r="A121" s="10">
        <v>42339</v>
      </c>
      <c r="B121" s="8">
        <v>436308.92495870002</v>
      </c>
      <c r="C121" s="11">
        <v>5029.1000000000004</v>
      </c>
      <c r="D121" s="12">
        <f t="shared" si="2"/>
        <v>1.1526466025135844</v>
      </c>
    </row>
    <row r="122" spans="1:4" x14ac:dyDescent="0.35">
      <c r="A122" s="10">
        <v>42370</v>
      </c>
      <c r="B122" s="8">
        <v>439882.46627169702</v>
      </c>
      <c r="C122" s="11">
        <v>5086.6000000000004</v>
      </c>
      <c r="D122" s="12">
        <f t="shared" si="2"/>
        <v>1.1563543423570377</v>
      </c>
    </row>
    <row r="123" spans="1:4" x14ac:dyDescent="0.35">
      <c r="A123" s="10">
        <v>42401</v>
      </c>
      <c r="B123" s="8">
        <v>442605.27252489101</v>
      </c>
      <c r="C123" s="11">
        <v>5263.3</v>
      </c>
      <c r="D123" s="12">
        <f t="shared" si="2"/>
        <v>1.1891634209359776</v>
      </c>
    </row>
    <row r="124" spans="1:4" x14ac:dyDescent="0.35">
      <c r="A124" s="10">
        <v>42430</v>
      </c>
      <c r="B124" s="8">
        <v>446113.59377660998</v>
      </c>
      <c r="C124" s="11">
        <v>5044.3999999999996</v>
      </c>
      <c r="D124" s="12">
        <f t="shared" si="2"/>
        <v>1.1307433959356028</v>
      </c>
    </row>
    <row r="125" spans="1:4" x14ac:dyDescent="0.35">
      <c r="A125" s="10">
        <v>42461</v>
      </c>
      <c r="B125" s="8">
        <v>449532.82383262698</v>
      </c>
      <c r="C125" s="11">
        <v>5067.8</v>
      </c>
      <c r="D125" s="12">
        <f t="shared" si="2"/>
        <v>1.1273481559795679</v>
      </c>
    </row>
    <row r="126" spans="1:4" x14ac:dyDescent="0.35">
      <c r="A126" s="10">
        <v>42491</v>
      </c>
      <c r="B126" s="8">
        <v>452937.29289282201</v>
      </c>
      <c r="C126" s="11">
        <v>5086.8</v>
      </c>
      <c r="D126" s="12">
        <f t="shared" si="2"/>
        <v>1.1230693696055809</v>
      </c>
    </row>
    <row r="127" spans="1:4" x14ac:dyDescent="0.35">
      <c r="A127" s="10">
        <v>42522</v>
      </c>
      <c r="B127" s="8">
        <v>456402.81014686503</v>
      </c>
      <c r="C127" s="11">
        <v>5106.3999999999996</v>
      </c>
      <c r="D127" s="12">
        <f t="shared" si="2"/>
        <v>1.1188362311697468</v>
      </c>
    </row>
    <row r="128" spans="1:4" x14ac:dyDescent="0.35">
      <c r="A128" s="10">
        <v>42552</v>
      </c>
      <c r="B128" s="8">
        <v>459184.82283303502</v>
      </c>
      <c r="C128" s="11">
        <v>5221.3999999999996</v>
      </c>
      <c r="D128" s="12">
        <f t="shared" si="2"/>
        <v>1.1371020426558309</v>
      </c>
    </row>
    <row r="129" spans="1:4" x14ac:dyDescent="0.35">
      <c r="A129" s="10">
        <v>42583</v>
      </c>
      <c r="B129" s="8">
        <v>462644.69221972802</v>
      </c>
      <c r="C129" s="11">
        <v>5220</v>
      </c>
      <c r="D129" s="12">
        <f t="shared" si="2"/>
        <v>1.128295663558768</v>
      </c>
    </row>
    <row r="130" spans="1:4" x14ac:dyDescent="0.35">
      <c r="A130" s="10">
        <v>42614</v>
      </c>
      <c r="B130" s="8">
        <v>465846.22972848697</v>
      </c>
      <c r="C130" s="11">
        <v>5311.4</v>
      </c>
      <c r="D130" s="12">
        <f t="shared" si="2"/>
        <v>1.1401616372629413</v>
      </c>
    </row>
    <row r="131" spans="1:4" x14ac:dyDescent="0.35">
      <c r="A131" s="10">
        <v>42644</v>
      </c>
      <c r="B131" s="8">
        <v>468921.94247973198</v>
      </c>
      <c r="C131" s="11">
        <v>5390.7</v>
      </c>
      <c r="D131" s="12">
        <f t="shared" si="2"/>
        <v>1.1495943165920413</v>
      </c>
    </row>
    <row r="132" spans="1:4" x14ac:dyDescent="0.35">
      <c r="A132" s="10">
        <v>42675</v>
      </c>
      <c r="B132" s="8">
        <v>472829.80325600202</v>
      </c>
      <c r="C132" s="11">
        <v>5397.7</v>
      </c>
      <c r="D132" s="12">
        <f t="shared" si="2"/>
        <v>1.1415735562416629</v>
      </c>
    </row>
    <row r="133" spans="1:4" x14ac:dyDescent="0.35">
      <c r="A133" s="10">
        <v>42705</v>
      </c>
      <c r="B133" s="8">
        <v>476374.39259636501</v>
      </c>
      <c r="C133" s="11">
        <v>5440.9</v>
      </c>
      <c r="D133" s="12">
        <f t="shared" si="2"/>
        <v>1.1421478745626255</v>
      </c>
    </row>
    <row r="134" spans="1:4" x14ac:dyDescent="0.35">
      <c r="A134" s="10">
        <v>42736</v>
      </c>
      <c r="B134" s="8">
        <v>480361.50196103897</v>
      </c>
      <c r="C134" s="11">
        <v>5466</v>
      </c>
      <c r="D134" s="12">
        <f t="shared" si="2"/>
        <v>1.1378930196707011</v>
      </c>
    </row>
    <row r="135" spans="1:4" x14ac:dyDescent="0.35">
      <c r="A135" s="10">
        <v>42767</v>
      </c>
      <c r="B135" s="8">
        <v>482672.99756540498</v>
      </c>
      <c r="C135" s="11">
        <v>5582.6</v>
      </c>
      <c r="D135" s="12">
        <f t="shared" si="2"/>
        <v>1.1566008515410116</v>
      </c>
    </row>
    <row r="136" spans="1:4" x14ac:dyDescent="0.35">
      <c r="A136" s="10">
        <v>42795</v>
      </c>
      <c r="B136" s="8">
        <v>486229.098230139</v>
      </c>
      <c r="C136" s="11">
        <v>5563.6</v>
      </c>
      <c r="D136" s="12">
        <f t="shared" si="2"/>
        <v>1.1442342756226143</v>
      </c>
    </row>
    <row r="137" spans="1:4" x14ac:dyDescent="0.35">
      <c r="A137" s="10">
        <v>42826</v>
      </c>
      <c r="B137" s="8">
        <v>488872.608365939</v>
      </c>
      <c r="C137" s="11">
        <v>5494.5</v>
      </c>
      <c r="D137" s="12">
        <f t="shared" si="2"/>
        <v>1.1239124274860508</v>
      </c>
    </row>
    <row r="138" spans="1:4" x14ac:dyDescent="0.35">
      <c r="A138" s="10">
        <v>42856</v>
      </c>
      <c r="B138" s="8">
        <v>492180.49906387099</v>
      </c>
      <c r="C138" s="11">
        <v>5492.9</v>
      </c>
      <c r="D138" s="12">
        <f t="shared" si="2"/>
        <v>1.116033652379059</v>
      </c>
    </row>
    <row r="139" spans="1:4" x14ac:dyDescent="0.35">
      <c r="A139" s="10">
        <v>42887</v>
      </c>
      <c r="B139" s="8">
        <v>496421.24715494399</v>
      </c>
      <c r="C139" s="11">
        <v>5596.6</v>
      </c>
      <c r="D139" s="12">
        <f t="shared" si="2"/>
        <v>1.1273892952960529</v>
      </c>
    </row>
    <row r="140" spans="1:4" x14ac:dyDescent="0.35">
      <c r="A140" s="10">
        <v>42917</v>
      </c>
      <c r="B140" s="8">
        <v>499388.93293709302</v>
      </c>
      <c r="C140" s="11">
        <v>5606.1</v>
      </c>
      <c r="D140" s="12">
        <f t="shared" si="2"/>
        <v>1.1225919579411643</v>
      </c>
    </row>
    <row r="141" spans="1:4" x14ac:dyDescent="0.35">
      <c r="A141" s="10">
        <v>42948</v>
      </c>
      <c r="B141" s="8">
        <v>502530.83275380399</v>
      </c>
      <c r="C141" s="11">
        <v>5633.5</v>
      </c>
      <c r="D141" s="12">
        <f t="shared" si="2"/>
        <v>1.1210257426652108</v>
      </c>
    </row>
    <row r="142" spans="1:4" x14ac:dyDescent="0.35">
      <c r="A142" s="10">
        <v>42979</v>
      </c>
      <c r="B142" s="8">
        <v>506133.92953504098</v>
      </c>
      <c r="C142" s="11">
        <v>5705.3</v>
      </c>
      <c r="D142" s="12">
        <f t="shared" si="2"/>
        <v>1.1272312854507034</v>
      </c>
    </row>
    <row r="143" spans="1:4" x14ac:dyDescent="0.35">
      <c r="A143" s="10">
        <v>43009</v>
      </c>
      <c r="B143" s="8">
        <v>510239.49362386798</v>
      </c>
      <c r="C143" s="11">
        <v>5673.8</v>
      </c>
      <c r="D143" s="12">
        <f t="shared" si="2"/>
        <v>1.111987619716192</v>
      </c>
    </row>
    <row r="144" spans="1:4" x14ac:dyDescent="0.35">
      <c r="A144" s="10">
        <v>43040</v>
      </c>
      <c r="B144" s="8">
        <v>514250.371420877</v>
      </c>
      <c r="C144" s="11">
        <v>5630.8</v>
      </c>
      <c r="D144" s="12">
        <f t="shared" si="2"/>
        <v>1.0949530253992943</v>
      </c>
    </row>
    <row r="145" spans="1:4" x14ac:dyDescent="0.35">
      <c r="A145" s="10">
        <v>43070</v>
      </c>
      <c r="B145" s="8">
        <v>517876.31820570701</v>
      </c>
      <c r="C145" s="11">
        <v>5429.9</v>
      </c>
      <c r="D145" s="12">
        <f t="shared" si="2"/>
        <v>1.0484935899005861</v>
      </c>
    </row>
    <row r="146" spans="1:4" x14ac:dyDescent="0.35">
      <c r="A146" s="10">
        <v>43101</v>
      </c>
      <c r="B146" s="8">
        <v>521813.40995945799</v>
      </c>
      <c r="C146" s="11">
        <v>5373.5</v>
      </c>
      <c r="D146" s="12">
        <f t="shared" si="2"/>
        <v>1.0297742253150395</v>
      </c>
    </row>
    <row r="147" spans="1:4" x14ac:dyDescent="0.35">
      <c r="A147" s="10">
        <v>43132</v>
      </c>
      <c r="B147" s="8">
        <v>524908.27881769696</v>
      </c>
      <c r="C147" s="11">
        <v>5530</v>
      </c>
      <c r="D147" s="12">
        <f t="shared" si="2"/>
        <v>1.0535173902106798</v>
      </c>
    </row>
    <row r="148" spans="1:4" x14ac:dyDescent="0.35">
      <c r="A148" s="10">
        <v>43160</v>
      </c>
      <c r="B148" s="8">
        <v>528181.67788906198</v>
      </c>
      <c r="C148" s="11">
        <v>5539.5</v>
      </c>
      <c r="D148" s="12">
        <f t="shared" si="2"/>
        <v>1.0487868534439211</v>
      </c>
    </row>
    <row r="149" spans="1:4" x14ac:dyDescent="0.35">
      <c r="A149" s="10">
        <v>43191</v>
      </c>
      <c r="B149" s="8">
        <v>534954.05087706901</v>
      </c>
      <c r="C149" s="11">
        <v>5696.1</v>
      </c>
      <c r="D149" s="12">
        <f t="shared" si="2"/>
        <v>1.0647830389658921</v>
      </c>
    </row>
    <row r="150" spans="1:4" x14ac:dyDescent="0.35">
      <c r="A150" s="10">
        <v>43221</v>
      </c>
      <c r="B150" s="8">
        <v>538027.52022803097</v>
      </c>
      <c r="C150" s="11">
        <v>5883.4</v>
      </c>
      <c r="D150" s="12">
        <f t="shared" si="2"/>
        <v>1.0935128369467888</v>
      </c>
    </row>
    <row r="151" spans="1:4" x14ac:dyDescent="0.35">
      <c r="A151" s="10">
        <v>43252</v>
      </c>
      <c r="B151" s="8">
        <v>541136.65476003895</v>
      </c>
      <c r="C151" s="11">
        <v>6030.5</v>
      </c>
      <c r="D151" s="12">
        <f t="shared" si="2"/>
        <v>1.1144135121791294</v>
      </c>
    </row>
    <row r="152" spans="1:4" x14ac:dyDescent="0.35">
      <c r="A152" s="10">
        <v>43282</v>
      </c>
      <c r="B152" s="8">
        <v>544464.27515189</v>
      </c>
      <c r="C152" s="11">
        <v>5955.5</v>
      </c>
      <c r="D152" s="12">
        <f t="shared" si="2"/>
        <v>1.0938275056409505</v>
      </c>
    </row>
    <row r="153" spans="1:4" x14ac:dyDescent="0.35">
      <c r="A153" s="10">
        <v>43313</v>
      </c>
      <c r="B153" s="8">
        <v>547285.76012220897</v>
      </c>
      <c r="C153" s="11">
        <v>5943.7</v>
      </c>
      <c r="D153" s="12">
        <f t="shared" si="2"/>
        <v>1.0860322765702457</v>
      </c>
    </row>
    <row r="154" spans="1:4" x14ac:dyDescent="0.35">
      <c r="A154" s="10">
        <v>43344</v>
      </c>
      <c r="B154" s="8">
        <v>550272.23617067095</v>
      </c>
      <c r="C154" s="11">
        <v>5940.7</v>
      </c>
      <c r="D154" s="12">
        <f t="shared" si="2"/>
        <v>1.0795929013866234</v>
      </c>
    </row>
    <row r="155" spans="1:4" x14ac:dyDescent="0.35">
      <c r="A155" s="10">
        <v>43374</v>
      </c>
      <c r="B155" s="8">
        <v>553994.19470720703</v>
      </c>
      <c r="C155" s="11">
        <v>5860</v>
      </c>
      <c r="D155" s="12">
        <f t="shared" si="2"/>
        <v>1.0577728171135592</v>
      </c>
    </row>
    <row r="156" spans="1:4" x14ac:dyDescent="0.35">
      <c r="A156" s="10">
        <v>43405</v>
      </c>
      <c r="B156" s="8">
        <v>557239.88065921306</v>
      </c>
      <c r="C156" s="11">
        <v>5955</v>
      </c>
      <c r="D156" s="12">
        <f t="shared" si="2"/>
        <v>1.0686600522839917</v>
      </c>
    </row>
    <row r="157" spans="1:4" x14ac:dyDescent="0.35">
      <c r="A157" s="10">
        <v>43435</v>
      </c>
      <c r="B157" s="8">
        <v>560765.81424758397</v>
      </c>
      <c r="C157" s="11">
        <v>6089.7</v>
      </c>
      <c r="D157" s="12">
        <f t="shared" si="2"/>
        <v>1.0859613487977948</v>
      </c>
    </row>
    <row r="158" spans="1:4" x14ac:dyDescent="0.35">
      <c r="A158" s="10">
        <v>43466</v>
      </c>
      <c r="B158" s="8">
        <v>564956.91053851799</v>
      </c>
      <c r="C158" s="11">
        <v>6099.5</v>
      </c>
      <c r="D158" s="12">
        <f t="shared" si="2"/>
        <v>1.0796398603542958</v>
      </c>
    </row>
    <row r="159" spans="1:4" x14ac:dyDescent="0.35">
      <c r="A159" s="10">
        <v>43497</v>
      </c>
      <c r="B159" s="8">
        <v>566920.74985926796</v>
      </c>
      <c r="C159" s="11">
        <v>6198.7</v>
      </c>
      <c r="D159" s="12">
        <f t="shared" si="2"/>
        <v>1.0933979752088385</v>
      </c>
    </row>
    <row r="160" spans="1:4" x14ac:dyDescent="0.35">
      <c r="A160" s="10">
        <v>43525</v>
      </c>
      <c r="B160" s="8">
        <v>570361.91959268996</v>
      </c>
      <c r="C160" s="11">
        <v>6134.9</v>
      </c>
      <c r="D160" s="12">
        <f t="shared" si="2"/>
        <v>1.075615287286551</v>
      </c>
    </row>
    <row r="161" spans="1:4" x14ac:dyDescent="0.35">
      <c r="A161" s="10">
        <v>43556</v>
      </c>
      <c r="B161" s="8">
        <v>573552.33876579301</v>
      </c>
      <c r="C161" s="11">
        <v>6110.9</v>
      </c>
      <c r="D161" s="12">
        <f t="shared" si="2"/>
        <v>1.0654476648373241</v>
      </c>
    </row>
    <row r="162" spans="1:4" x14ac:dyDescent="0.35">
      <c r="A162" s="10">
        <v>43586</v>
      </c>
      <c r="B162" s="8">
        <v>577692.86835589504</v>
      </c>
      <c r="C162" s="11">
        <v>6232.4</v>
      </c>
      <c r="D162" s="12">
        <f t="shared" si="2"/>
        <v>1.0788431606810922</v>
      </c>
    </row>
    <row r="163" spans="1:4" x14ac:dyDescent="0.35">
      <c r="A163" s="10">
        <v>43617</v>
      </c>
      <c r="B163" s="8">
        <v>580110.12966957397</v>
      </c>
      <c r="C163" s="11">
        <v>6413</v>
      </c>
      <c r="D163" s="12">
        <f t="shared" si="2"/>
        <v>1.1054797480700418</v>
      </c>
    </row>
    <row r="164" spans="1:4" x14ac:dyDescent="0.35">
      <c r="A164" s="10">
        <v>43647</v>
      </c>
      <c r="B164" s="8">
        <v>583507.73099482805</v>
      </c>
      <c r="C164" s="11">
        <v>6455.1</v>
      </c>
      <c r="D164" s="12">
        <f t="shared" si="2"/>
        <v>1.1062578363777009</v>
      </c>
    </row>
    <row r="165" spans="1:4" x14ac:dyDescent="0.35">
      <c r="A165" s="10">
        <v>43678</v>
      </c>
      <c r="B165" s="8">
        <v>587120.91501465195</v>
      </c>
      <c r="C165" s="11">
        <v>6502</v>
      </c>
      <c r="D165" s="12">
        <f t="shared" si="2"/>
        <v>1.1074379797622673</v>
      </c>
    </row>
    <row r="166" spans="1:4" x14ac:dyDescent="0.35">
      <c r="A166" s="10">
        <v>43709</v>
      </c>
      <c r="B166" s="8">
        <v>590420.20836685295</v>
      </c>
      <c r="C166" s="11">
        <v>6718.4</v>
      </c>
      <c r="D166" s="12">
        <f t="shared" ref="D166:D229" si="3">C166/B166*100</f>
        <v>1.1379014310136171</v>
      </c>
    </row>
    <row r="167" spans="1:4" x14ac:dyDescent="0.35">
      <c r="A167" s="10">
        <v>43739</v>
      </c>
      <c r="B167" s="8">
        <v>594695.61405226204</v>
      </c>
      <c r="C167" s="11">
        <v>6728.2</v>
      </c>
      <c r="D167" s="12">
        <f t="shared" si="3"/>
        <v>1.1313686936673328</v>
      </c>
    </row>
    <row r="168" spans="1:4" x14ac:dyDescent="0.35">
      <c r="A168" s="10">
        <v>43770</v>
      </c>
      <c r="B168" s="8">
        <v>598579.33859216596</v>
      </c>
      <c r="C168" s="11">
        <v>6805.8</v>
      </c>
      <c r="D168" s="12">
        <f t="shared" si="3"/>
        <v>1.1369921347447378</v>
      </c>
    </row>
    <row r="169" spans="1:4" x14ac:dyDescent="0.35">
      <c r="A169" s="10">
        <v>43800</v>
      </c>
      <c r="B169" s="8">
        <v>602804.62506085099</v>
      </c>
      <c r="C169" s="11">
        <v>6915.1</v>
      </c>
      <c r="D169" s="12">
        <f t="shared" si="3"/>
        <v>1.1471544365310642</v>
      </c>
    </row>
    <row r="170" spans="1:4" x14ac:dyDescent="0.35">
      <c r="A170" s="10">
        <v>43831</v>
      </c>
      <c r="B170" s="8">
        <v>605959.19368087198</v>
      </c>
      <c r="C170" s="11">
        <v>7111.3</v>
      </c>
      <c r="D170" s="12">
        <f t="shared" si="3"/>
        <v>1.1735608724413811</v>
      </c>
    </row>
    <row r="171" spans="1:4" x14ac:dyDescent="0.35">
      <c r="A171" s="10">
        <v>43862</v>
      </c>
      <c r="B171" s="8">
        <v>608947.61314583803</v>
      </c>
      <c r="C171" s="11">
        <v>7155.9</v>
      </c>
      <c r="D171" s="12">
        <f t="shared" si="3"/>
        <v>1.1751257161568378</v>
      </c>
    </row>
    <row r="172" spans="1:4" x14ac:dyDescent="0.35">
      <c r="A172" s="10">
        <v>43891</v>
      </c>
      <c r="B172" s="8">
        <v>611831.08512967103</v>
      </c>
      <c r="C172" s="11">
        <v>7364.6</v>
      </c>
      <c r="D172" s="12">
        <f t="shared" si="3"/>
        <v>1.2036982394314195</v>
      </c>
    </row>
    <row r="173" spans="1:4" x14ac:dyDescent="0.35">
      <c r="A173" s="10">
        <v>43922</v>
      </c>
      <c r="B173" s="8">
        <v>613946.32357251598</v>
      </c>
      <c r="C173" s="11">
        <v>7156.5</v>
      </c>
      <c r="D173" s="12">
        <f t="shared" si="3"/>
        <v>1.1656556485845155</v>
      </c>
    </row>
    <row r="174" spans="1:4" x14ac:dyDescent="0.35">
      <c r="A174" s="10">
        <v>43952</v>
      </c>
      <c r="B174" s="8">
        <v>616422.31891946704</v>
      </c>
      <c r="C174" s="11">
        <v>6953.8</v>
      </c>
      <c r="D174" s="12">
        <f t="shared" si="3"/>
        <v>1.128090237256397</v>
      </c>
    </row>
    <row r="175" spans="1:4" x14ac:dyDescent="0.35">
      <c r="A175" s="10">
        <v>43983</v>
      </c>
      <c r="B175" s="8">
        <v>620968.68171372497</v>
      </c>
      <c r="C175" s="11">
        <v>6598.5</v>
      </c>
      <c r="D175" s="12">
        <f t="shared" si="3"/>
        <v>1.0626139762459064</v>
      </c>
    </row>
    <row r="176" spans="1:4" x14ac:dyDescent="0.35">
      <c r="A176" s="10">
        <v>44013</v>
      </c>
      <c r="B176" s="8">
        <v>627031.44357214402</v>
      </c>
      <c r="C176" s="11">
        <v>6285.8</v>
      </c>
      <c r="D176" s="12">
        <f t="shared" si="3"/>
        <v>1.0024696631145544</v>
      </c>
    </row>
    <row r="177" spans="1:4" x14ac:dyDescent="0.35">
      <c r="A177" s="10">
        <v>44044</v>
      </c>
      <c r="B177" s="8">
        <v>631581.796848292</v>
      </c>
      <c r="C177" s="11">
        <v>5996.2</v>
      </c>
      <c r="D177" s="12">
        <f t="shared" si="3"/>
        <v>0.94939404997454457</v>
      </c>
    </row>
    <row r="178" spans="1:4" x14ac:dyDescent="0.35">
      <c r="A178" s="10">
        <v>44075</v>
      </c>
      <c r="B178" s="8">
        <v>635425.09134852805</v>
      </c>
      <c r="C178" s="11">
        <v>5789.4</v>
      </c>
      <c r="D178" s="12">
        <f t="shared" si="3"/>
        <v>0.91110660860330084</v>
      </c>
    </row>
    <row r="179" spans="1:4" x14ac:dyDescent="0.35">
      <c r="A179" s="10">
        <v>44105</v>
      </c>
      <c r="B179" s="8">
        <v>638686.29373723303</v>
      </c>
      <c r="C179" s="11">
        <v>6228.3</v>
      </c>
      <c r="D179" s="12">
        <f t="shared" si="3"/>
        <v>0.97517358068786653</v>
      </c>
    </row>
    <row r="180" spans="1:4" x14ac:dyDescent="0.35">
      <c r="A180" s="10">
        <v>44136</v>
      </c>
      <c r="B180" s="8">
        <v>641892.90705125395</v>
      </c>
      <c r="C180" s="11">
        <v>7510.4</v>
      </c>
      <c r="D180" s="12">
        <f t="shared" si="3"/>
        <v>1.1700394127271931</v>
      </c>
    </row>
    <row r="181" spans="1:4" x14ac:dyDescent="0.35">
      <c r="A181" s="10">
        <v>44166</v>
      </c>
      <c r="B181" s="8">
        <v>645696.13029640797</v>
      </c>
      <c r="C181" s="11">
        <v>7648.8</v>
      </c>
      <c r="D181" s="12">
        <f t="shared" si="3"/>
        <v>1.18458197921812</v>
      </c>
    </row>
    <row r="182" spans="1:4" x14ac:dyDescent="0.35">
      <c r="A182" s="10">
        <v>44197</v>
      </c>
      <c r="B182" s="8">
        <v>649080.29812880605</v>
      </c>
      <c r="C182" s="11">
        <v>7987.5</v>
      </c>
      <c r="D182" s="12">
        <f t="shared" si="3"/>
        <v>1.2305873438196593</v>
      </c>
    </row>
    <row r="183" spans="1:4" x14ac:dyDescent="0.35">
      <c r="A183" s="10">
        <v>44228</v>
      </c>
      <c r="B183" s="8">
        <v>651745.08492802805</v>
      </c>
      <c r="C183" s="11">
        <v>7903.2</v>
      </c>
      <c r="D183" s="12">
        <f t="shared" si="3"/>
        <v>1.2126213427252386</v>
      </c>
    </row>
    <row r="184" spans="1:4" x14ac:dyDescent="0.35">
      <c r="A184" s="10">
        <v>44256</v>
      </c>
      <c r="B184" s="8">
        <v>655658.03147579799</v>
      </c>
      <c r="C184" s="11">
        <v>8210.4</v>
      </c>
      <c r="D184" s="12">
        <f t="shared" si="3"/>
        <v>1.2522381494388917</v>
      </c>
    </row>
    <row r="185" spans="1:4" x14ac:dyDescent="0.35">
      <c r="A185" s="10">
        <v>44287</v>
      </c>
      <c r="B185" s="8">
        <v>659320.20852739702</v>
      </c>
      <c r="C185" s="11">
        <v>8036.9</v>
      </c>
      <c r="D185" s="12">
        <f t="shared" si="3"/>
        <v>1.2189676421340934</v>
      </c>
    </row>
    <row r="186" spans="1:4" x14ac:dyDescent="0.35">
      <c r="A186" s="10">
        <v>44317</v>
      </c>
      <c r="B186" s="8">
        <v>661888.35869175999</v>
      </c>
      <c r="C186" s="11">
        <v>8209.7000000000007</v>
      </c>
      <c r="D186" s="12">
        <f t="shared" si="3"/>
        <v>1.2403451265144914</v>
      </c>
    </row>
    <row r="187" spans="1:4" x14ac:dyDescent="0.35">
      <c r="A187" s="10">
        <v>44348</v>
      </c>
      <c r="B187" s="8">
        <v>663083.10438514</v>
      </c>
      <c r="C187" s="11">
        <v>8161</v>
      </c>
      <c r="D187" s="12">
        <f t="shared" si="3"/>
        <v>1.2307657887871364</v>
      </c>
    </row>
    <row r="188" spans="1:4" x14ac:dyDescent="0.35">
      <c r="A188" s="10">
        <v>44378</v>
      </c>
      <c r="B188" s="8">
        <v>667242.31967578002</v>
      </c>
      <c r="C188" s="11">
        <v>8499.1</v>
      </c>
      <c r="D188" s="12">
        <f t="shared" si="3"/>
        <v>1.2737651299050998</v>
      </c>
    </row>
    <row r="189" spans="1:4" x14ac:dyDescent="0.35">
      <c r="A189" s="10">
        <v>44409</v>
      </c>
      <c r="B189" s="8">
        <v>668981.61400338996</v>
      </c>
      <c r="C189" s="11">
        <v>8465.5</v>
      </c>
      <c r="D189" s="12">
        <f t="shared" si="3"/>
        <v>1.2654308911929382</v>
      </c>
    </row>
    <row r="190" spans="1:4" x14ac:dyDescent="0.35">
      <c r="A190" s="10">
        <v>44440</v>
      </c>
      <c r="B190" s="8">
        <v>673459.98190446</v>
      </c>
      <c r="C190" s="11">
        <v>9265.7000000000007</v>
      </c>
      <c r="D190" s="12">
        <f t="shared" si="3"/>
        <v>1.3758352758834711</v>
      </c>
    </row>
    <row r="191" spans="1:4" x14ac:dyDescent="0.35">
      <c r="A191" s="10">
        <v>44470</v>
      </c>
      <c r="B191" s="8">
        <v>678139.17368370004</v>
      </c>
      <c r="C191" s="11">
        <v>9105</v>
      </c>
      <c r="D191" s="12">
        <f t="shared" si="3"/>
        <v>1.3426447480597523</v>
      </c>
    </row>
    <row r="192" spans="1:4" x14ac:dyDescent="0.35">
      <c r="A192" s="10">
        <v>44501</v>
      </c>
      <c r="B192" s="8">
        <v>682793.51645891997</v>
      </c>
      <c r="C192" s="11">
        <v>8877.7999999999993</v>
      </c>
      <c r="D192" s="12">
        <f t="shared" si="3"/>
        <v>1.300217384318723</v>
      </c>
    </row>
    <row r="193" spans="1:4" x14ac:dyDescent="0.35">
      <c r="A193" s="10">
        <v>44531</v>
      </c>
      <c r="B193" s="8">
        <v>689233.94133736996</v>
      </c>
      <c r="C193" s="11">
        <v>8594.9</v>
      </c>
      <c r="D193" s="12">
        <f t="shared" si="3"/>
        <v>1.2470221625073628</v>
      </c>
    </row>
    <row r="194" spans="1:4" x14ac:dyDescent="0.35">
      <c r="A194" s="10">
        <v>44562</v>
      </c>
      <c r="B194" s="8">
        <v>693641.96475525002</v>
      </c>
      <c r="C194" s="11">
        <v>8796.7999999999993</v>
      </c>
      <c r="D194" s="12">
        <f t="shared" si="3"/>
        <v>1.268204700259727</v>
      </c>
    </row>
    <row r="195" spans="1:4" x14ac:dyDescent="0.35">
      <c r="A195" s="10">
        <v>44593</v>
      </c>
      <c r="B195" s="8">
        <v>696376.66824713</v>
      </c>
      <c r="C195" s="11">
        <v>8988.1</v>
      </c>
      <c r="D195" s="12">
        <f t="shared" si="3"/>
        <v>1.2906951668303606</v>
      </c>
    </row>
    <row r="196" spans="1:4" x14ac:dyDescent="0.35">
      <c r="A196" s="10">
        <v>44621</v>
      </c>
      <c r="B196" s="8">
        <v>700725.60380139004</v>
      </c>
      <c r="C196" s="11">
        <v>9116.4</v>
      </c>
      <c r="D196" s="12">
        <f t="shared" si="3"/>
        <v>1.3009942765818934</v>
      </c>
    </row>
    <row r="197" spans="1:4" x14ac:dyDescent="0.35">
      <c r="A197" s="10">
        <v>44652</v>
      </c>
      <c r="B197" s="8">
        <v>704416.36130892998</v>
      </c>
      <c r="C197" s="11">
        <v>9329.5</v>
      </c>
      <c r="D197" s="12">
        <f t="shared" si="3"/>
        <v>1.3244297708622415</v>
      </c>
    </row>
    <row r="198" spans="1:4" x14ac:dyDescent="0.35">
      <c r="A198" s="10">
        <v>44682</v>
      </c>
      <c r="B198" s="8">
        <v>707170.26076881005</v>
      </c>
      <c r="C198" s="11">
        <v>9795.4</v>
      </c>
      <c r="D198" s="12">
        <f t="shared" si="3"/>
        <v>1.385154402470318</v>
      </c>
    </row>
    <row r="199" spans="1:4" x14ac:dyDescent="0.35">
      <c r="A199" s="10">
        <v>44713</v>
      </c>
      <c r="B199" s="8">
        <v>711316.68058876996</v>
      </c>
      <c r="C199" s="11">
        <v>10001</v>
      </c>
      <c r="D199" s="12">
        <f t="shared" si="3"/>
        <v>1.4059841801716202</v>
      </c>
    </row>
    <row r="200" spans="1:4" x14ac:dyDescent="0.35">
      <c r="A200" s="10">
        <v>44743</v>
      </c>
      <c r="B200" s="8">
        <v>715026.77171898005</v>
      </c>
      <c r="C200" s="11">
        <v>10068.700000000001</v>
      </c>
      <c r="D200" s="12">
        <f t="shared" si="3"/>
        <v>1.4081570646360642</v>
      </c>
    </row>
    <row r="201" spans="1:4" x14ac:dyDescent="0.35">
      <c r="A201" s="10">
        <v>44774</v>
      </c>
      <c r="B201" s="8">
        <v>718931.11429726996</v>
      </c>
      <c r="C201" s="11">
        <v>9734.4</v>
      </c>
      <c r="D201" s="12">
        <f t="shared" si="3"/>
        <v>1.3540101139613405</v>
      </c>
    </row>
    <row r="202" spans="1:4" x14ac:dyDescent="0.35">
      <c r="A202" s="10">
        <v>44805</v>
      </c>
      <c r="B202" s="8">
        <v>723444.95568273996</v>
      </c>
      <c r="C202" s="11">
        <v>9676</v>
      </c>
      <c r="D202" s="12">
        <f t="shared" si="3"/>
        <v>1.337489455693063</v>
      </c>
    </row>
    <row r="203" spans="1:4" x14ac:dyDescent="0.35">
      <c r="A203" s="10">
        <v>44835</v>
      </c>
      <c r="B203" s="8">
        <v>727501.11271720997</v>
      </c>
      <c r="C203" s="11">
        <v>9792.7000000000007</v>
      </c>
      <c r="D203" s="12">
        <f t="shared" si="3"/>
        <v>1.3460735425440598</v>
      </c>
    </row>
    <row r="204" spans="1:4" x14ac:dyDescent="0.35">
      <c r="A204" s="10">
        <v>44866</v>
      </c>
      <c r="B204" s="8">
        <v>732307.08041728998</v>
      </c>
      <c r="C204" s="11">
        <v>10077.6</v>
      </c>
      <c r="D204" s="12">
        <f t="shared" si="3"/>
        <v>1.3761440070001085</v>
      </c>
    </row>
    <row r="205" spans="1:4" x14ac:dyDescent="0.35">
      <c r="A205" s="10">
        <v>44896</v>
      </c>
      <c r="B205" s="8">
        <v>736928.03246566001</v>
      </c>
      <c r="C205" s="11">
        <v>10188</v>
      </c>
      <c r="D205" s="12">
        <f t="shared" si="3"/>
        <v>1.3824959224189575</v>
      </c>
    </row>
    <row r="206" spans="1:4" x14ac:dyDescent="0.35">
      <c r="A206" s="10">
        <v>44927</v>
      </c>
      <c r="B206" s="8">
        <v>741092.89614462003</v>
      </c>
      <c r="C206" s="11">
        <v>10123.9</v>
      </c>
      <c r="D206" s="12">
        <f t="shared" si="3"/>
        <v>1.3660770535876758</v>
      </c>
    </row>
    <row r="207" spans="1:4" x14ac:dyDescent="0.35">
      <c r="A207" s="10">
        <v>44958</v>
      </c>
      <c r="B207" s="8">
        <v>744267.47041759</v>
      </c>
      <c r="C207" s="11">
        <v>10277.799999999999</v>
      </c>
      <c r="D207" s="12">
        <f t="shared" si="3"/>
        <v>1.3809282829778091</v>
      </c>
    </row>
    <row r="208" spans="1:4" x14ac:dyDescent="0.35">
      <c r="A208" s="10">
        <v>44986</v>
      </c>
      <c r="B208" s="8">
        <v>748884.46727488004</v>
      </c>
      <c r="C208" s="11">
        <v>10108.799999999999</v>
      </c>
      <c r="D208" s="12">
        <f t="shared" si="3"/>
        <v>1.3498477324259333</v>
      </c>
    </row>
    <row r="209" spans="1:4" x14ac:dyDescent="0.35">
      <c r="A209" s="10">
        <v>45017</v>
      </c>
      <c r="B209" s="8">
        <v>751813.490751</v>
      </c>
      <c r="C209" s="11">
        <v>10467.200000000001</v>
      </c>
      <c r="D209" s="12">
        <f t="shared" si="3"/>
        <v>1.3922601986756218</v>
      </c>
    </row>
    <row r="210" spans="1:4" x14ac:dyDescent="0.35">
      <c r="A210" s="10">
        <v>45047</v>
      </c>
      <c r="B210" s="8">
        <v>755748.00375687995</v>
      </c>
      <c r="C210" s="11">
        <v>10737.1</v>
      </c>
      <c r="D210" s="12">
        <f t="shared" si="3"/>
        <v>1.4207248906546988</v>
      </c>
    </row>
    <row r="211" spans="1:4" x14ac:dyDescent="0.35">
      <c r="A211" s="10">
        <v>45078</v>
      </c>
      <c r="B211" s="8">
        <v>760154.02305274003</v>
      </c>
      <c r="C211" s="11">
        <v>10852.9</v>
      </c>
      <c r="D211" s="12">
        <f t="shared" si="3"/>
        <v>1.4277238126577694</v>
      </c>
    </row>
    <row r="212" spans="1:4" x14ac:dyDescent="0.35">
      <c r="A212" s="10">
        <v>45108</v>
      </c>
      <c r="B212" s="8">
        <v>764510.42637432006</v>
      </c>
      <c r="C212" s="11">
        <v>11397</v>
      </c>
      <c r="D212" s="12">
        <f t="shared" si="3"/>
        <v>1.4907579552642745</v>
      </c>
    </row>
    <row r="213" spans="1:4" x14ac:dyDescent="0.35">
      <c r="A213" s="10">
        <v>45139</v>
      </c>
      <c r="B213" s="8">
        <v>770060.52186286997</v>
      </c>
      <c r="C213" s="11">
        <v>11383.7</v>
      </c>
      <c r="D213" s="12">
        <f t="shared" si="3"/>
        <v>1.4782864043544846</v>
      </c>
    </row>
    <row r="214" spans="1:4" x14ac:dyDescent="0.35">
      <c r="A214" s="10">
        <v>45170</v>
      </c>
      <c r="B214" s="8">
        <v>775393.24259189004</v>
      </c>
      <c r="C214" s="11">
        <v>10649.8</v>
      </c>
      <c r="D214" s="12">
        <f t="shared" si="3"/>
        <v>1.3734708293821527</v>
      </c>
    </row>
    <row r="215" spans="1:4" x14ac:dyDescent="0.35">
      <c r="A215" s="10">
        <v>45200</v>
      </c>
      <c r="B215" s="8">
        <v>781311.37155575003</v>
      </c>
      <c r="C215" s="11">
        <v>10630.9</v>
      </c>
      <c r="D215" s="12">
        <f t="shared" si="3"/>
        <v>1.3606483134671026</v>
      </c>
    </row>
    <row r="216" spans="1:4" x14ac:dyDescent="0.35">
      <c r="A216" s="10">
        <v>45231</v>
      </c>
      <c r="B216" s="8">
        <v>786009.84474672005</v>
      </c>
      <c r="C216" s="11">
        <v>10602.9</v>
      </c>
      <c r="D216" s="12">
        <f t="shared" si="3"/>
        <v>1.348952569851924</v>
      </c>
    </row>
    <row r="217" spans="1:4" x14ac:dyDescent="0.35">
      <c r="A217" s="10">
        <v>45261</v>
      </c>
      <c r="B217" s="8">
        <v>790693.94295361999</v>
      </c>
      <c r="C217" s="11">
        <v>10587.4</v>
      </c>
      <c r="D217" s="12">
        <f t="shared" si="3"/>
        <v>1.3390010249036433</v>
      </c>
    </row>
    <row r="218" spans="1:4" x14ac:dyDescent="0.35">
      <c r="A218" s="10">
        <v>45292</v>
      </c>
      <c r="B218" s="8">
        <v>796162.85264864995</v>
      </c>
      <c r="C218" s="11">
        <v>10645.6</v>
      </c>
      <c r="D218" s="12">
        <f t="shared" si="3"/>
        <v>1.3371133763129677</v>
      </c>
    </row>
    <row r="219" spans="1:4" x14ac:dyDescent="0.35">
      <c r="A219" s="10">
        <v>45323</v>
      </c>
      <c r="B219" s="8">
        <v>800021.30391149002</v>
      </c>
      <c r="C219" s="11">
        <v>10823.8</v>
      </c>
      <c r="D219" s="12">
        <f t="shared" si="3"/>
        <v>1.3529389713848776</v>
      </c>
    </row>
    <row r="220" spans="1:4" x14ac:dyDescent="0.35">
      <c r="A220" s="10">
        <v>45352</v>
      </c>
      <c r="B220" s="8">
        <v>804481.18271897</v>
      </c>
      <c r="C220" s="11">
        <v>10628.6</v>
      </c>
      <c r="D220" s="12">
        <f t="shared" si="3"/>
        <v>1.3211744697467829</v>
      </c>
    </row>
    <row r="221" spans="1:4" x14ac:dyDescent="0.35">
      <c r="A221" s="10">
        <v>45383</v>
      </c>
      <c r="B221" s="8">
        <v>808427.57078764006</v>
      </c>
      <c r="C221" s="11">
        <v>10659.8</v>
      </c>
      <c r="D221" s="12">
        <f t="shared" si="3"/>
        <v>1.3185844205702064</v>
      </c>
    </row>
    <row r="222" spans="1:4" x14ac:dyDescent="0.35">
      <c r="A222" s="10">
        <v>45413</v>
      </c>
      <c r="B222" s="8">
        <v>812923.35508490005</v>
      </c>
      <c r="C222" s="11">
        <v>10517.2</v>
      </c>
      <c r="D222" s="12">
        <f t="shared" si="3"/>
        <v>1.2937505035639685</v>
      </c>
    </row>
    <row r="223" spans="1:4" x14ac:dyDescent="0.35">
      <c r="A223" s="10">
        <v>45444</v>
      </c>
      <c r="B223" s="8">
        <v>817048.08991456998</v>
      </c>
      <c r="C223" s="11">
        <v>10350.4</v>
      </c>
      <c r="D223" s="12">
        <f t="shared" si="3"/>
        <v>1.2668042588634203</v>
      </c>
    </row>
    <row r="224" spans="1:4" x14ac:dyDescent="0.35">
      <c r="A224" s="10">
        <v>45474</v>
      </c>
      <c r="B224" s="8">
        <v>821907.62264984997</v>
      </c>
      <c r="C224" s="11">
        <v>10276.1</v>
      </c>
      <c r="D224" s="12">
        <f t="shared" si="3"/>
        <v>1.2502743272862717</v>
      </c>
    </row>
    <row r="225" spans="1:4" x14ac:dyDescent="0.35">
      <c r="A225" s="10">
        <v>45505</v>
      </c>
      <c r="B225" s="8">
        <v>827543.44982918003</v>
      </c>
      <c r="C225" s="11">
        <v>10117.799999999999</v>
      </c>
      <c r="D225" s="12">
        <f t="shared" si="3"/>
        <v>1.2226306669563389</v>
      </c>
    </row>
    <row r="226" spans="1:4" x14ac:dyDescent="0.35">
      <c r="A226" s="10">
        <v>45536</v>
      </c>
      <c r="B226" s="8">
        <v>831821.29919496004</v>
      </c>
      <c r="C226" s="11">
        <v>10058.1</v>
      </c>
      <c r="D226" s="12">
        <f t="shared" si="3"/>
        <v>1.209165960253034</v>
      </c>
    </row>
    <row r="227" spans="1:4" x14ac:dyDescent="0.35">
      <c r="A227" s="10">
        <v>45566</v>
      </c>
      <c r="B227" s="8">
        <v>836814.71672241006</v>
      </c>
      <c r="C227" s="11">
        <v>10006</v>
      </c>
      <c r="D227" s="12">
        <f t="shared" si="3"/>
        <v>1.1957246688001557</v>
      </c>
    </row>
    <row r="228" spans="1:4" x14ac:dyDescent="0.35">
      <c r="A228" s="10">
        <v>45597</v>
      </c>
      <c r="B228" s="8">
        <v>841149.13504373003</v>
      </c>
      <c r="C228" s="11">
        <v>9978.9</v>
      </c>
      <c r="D228" s="12">
        <f t="shared" si="3"/>
        <v>1.1863413495017401</v>
      </c>
    </row>
    <row r="229" spans="1:4" x14ac:dyDescent="0.35">
      <c r="A229" s="10">
        <v>45627</v>
      </c>
      <c r="B229" s="8">
        <v>845167.05508286005</v>
      </c>
      <c r="C229" s="11">
        <v>9839.6</v>
      </c>
      <c r="D229" s="12">
        <f t="shared" si="3"/>
        <v>1.1642195398914748</v>
      </c>
    </row>
    <row r="230" spans="1:4" x14ac:dyDescent="0.35">
      <c r="A230" s="10">
        <v>45658</v>
      </c>
      <c r="B230" s="8">
        <v>850236.61028299003</v>
      </c>
      <c r="C230" s="11">
        <v>9974</v>
      </c>
      <c r="D230" s="12">
        <f t="shared" ref="D230:D242" si="4">C230/B230*100</f>
        <v>1.1730852187934233</v>
      </c>
    </row>
    <row r="231" spans="1:4" x14ac:dyDescent="0.35">
      <c r="A231" s="10">
        <v>45689</v>
      </c>
      <c r="B231" s="8">
        <v>853627.32859971002</v>
      </c>
      <c r="C231" s="11">
        <v>9902.5</v>
      </c>
      <c r="D231" s="12">
        <f t="shared" si="4"/>
        <v>1.1600495518628788</v>
      </c>
    </row>
    <row r="232" spans="1:4" x14ac:dyDescent="0.35">
      <c r="A232" s="10">
        <v>45717</v>
      </c>
      <c r="B232" s="8">
        <v>857431.16263378004</v>
      </c>
      <c r="C232" s="11">
        <v>9708.9</v>
      </c>
      <c r="D232" s="12">
        <f t="shared" si="4"/>
        <v>1.1323241355232614</v>
      </c>
    </row>
    <row r="233" spans="1:4" x14ac:dyDescent="0.35">
      <c r="A233" s="10">
        <v>45748</v>
      </c>
      <c r="B233" s="8">
        <v>861219.41978078999</v>
      </c>
      <c r="C233" s="11">
        <v>9804.2999999999993</v>
      </c>
      <c r="D233" s="12">
        <f t="shared" si="4"/>
        <v>1.1384206829074444</v>
      </c>
    </row>
    <row r="234" spans="1:4" x14ac:dyDescent="0.35">
      <c r="A234" s="10">
        <v>45778</v>
      </c>
      <c r="B234" s="8">
        <v>864970.51124735002</v>
      </c>
      <c r="C234" s="11">
        <v>10060.299999999999</v>
      </c>
      <c r="D234" s="12">
        <f t="shared" si="4"/>
        <v>1.1630801130425035</v>
      </c>
    </row>
    <row r="235" spans="1:4" x14ac:dyDescent="0.35">
      <c r="A235" s="10">
        <v>45809</v>
      </c>
      <c r="B235" s="8">
        <v>869499.90023633</v>
      </c>
      <c r="C235" s="11">
        <v>9966.7000000000007</v>
      </c>
      <c r="D235" s="12">
        <f t="shared" si="4"/>
        <v>1.1462566007530366</v>
      </c>
    </row>
    <row r="236" spans="1:4" x14ac:dyDescent="0.35">
      <c r="A236" s="10">
        <v>45839</v>
      </c>
      <c r="B236" s="8">
        <v>874646.54581475002</v>
      </c>
      <c r="C236" s="11">
        <v>9833.2999999999993</v>
      </c>
      <c r="D236" s="12">
        <f t="shared" si="4"/>
        <v>1.1242598564017756</v>
      </c>
    </row>
    <row r="237" spans="1:4" x14ac:dyDescent="0.35">
      <c r="A237" s="10">
        <v>45870</v>
      </c>
      <c r="B237" s="8">
        <v>878784.73800090002</v>
      </c>
      <c r="C237" s="11">
        <v>9878.1</v>
      </c>
      <c r="D237" s="12">
        <f t="shared" si="4"/>
        <v>1.1240636725748285</v>
      </c>
    </row>
    <row r="238" spans="1:4" x14ac:dyDescent="0.35">
      <c r="A238" s="10">
        <v>45901</v>
      </c>
      <c r="B238" s="8">
        <v>882358.65690797998</v>
      </c>
      <c r="C238" s="11">
        <v>10014.6</v>
      </c>
      <c r="D238" s="12">
        <f t="shared" si="4"/>
        <v>1.1349806477893953</v>
      </c>
    </row>
    <row r="239" spans="1:4" x14ac:dyDescent="0.35">
      <c r="A239" s="10">
        <v>45931</v>
      </c>
      <c r="B239" s="8">
        <v>887077.51850199001</v>
      </c>
      <c r="C239" s="11">
        <v>9953.4</v>
      </c>
      <c r="D239" s="12">
        <f t="shared" si="4"/>
        <v>1.122043991917226</v>
      </c>
    </row>
    <row r="240" spans="1:4" x14ac:dyDescent="0.35">
      <c r="A240" s="10">
        <v>45962</v>
      </c>
      <c r="B240" s="8">
        <v>891222.69935898005</v>
      </c>
      <c r="D240" s="12">
        <f t="shared" si="4"/>
        <v>0</v>
      </c>
    </row>
    <row r="241" spans="1:4" x14ac:dyDescent="0.35">
      <c r="A241" s="10">
        <v>45992</v>
      </c>
      <c r="B241" s="8">
        <v>895230.57015060994</v>
      </c>
      <c r="D241" s="12">
        <f t="shared" si="4"/>
        <v>0</v>
      </c>
    </row>
    <row r="242" spans="1:4" x14ac:dyDescent="0.35">
      <c r="A242" s="10">
        <v>46023</v>
      </c>
      <c r="B242" s="8">
        <v>899355.50113038998</v>
      </c>
      <c r="D242" s="12">
        <f t="shared" si="4"/>
        <v>0</v>
      </c>
    </row>
  </sheetData>
  <hyperlinks>
    <hyperlink ref="B1" r:id="rId1" display="https://insights.ceicdata.com/series/495575337_SR173719117" xr:uid="{E26D573D-1D8C-4D3A-8F5A-09398DA35178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Source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VOON KAI WEN</cp:lastModifiedBy>
  <dcterms:created xsi:type="dcterms:W3CDTF">2015-06-05T18:17:20Z</dcterms:created>
  <dcterms:modified xsi:type="dcterms:W3CDTF">2026-03-01T13:52:11Z</dcterms:modified>
</cp:coreProperties>
</file>